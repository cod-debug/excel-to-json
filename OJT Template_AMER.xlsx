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ihg.sharepoint.com/sites/GlobalLearning_BrandsandService/Shared Documents/General/6_Projects in the Works/SOH1486_On the Job Training/3_Design/"/>
    </mc:Choice>
  </mc:AlternateContent>
  <xr:revisionPtr revIDLastSave="689" documentId="13_ncr:1_{B9FB6015-5F19-4AA5-98C0-34317458F9F9}" xr6:coauthVersionLast="47" xr6:coauthVersionMax="47" xr10:uidLastSave="{F6E9A04F-34FB-4F2F-A636-35CA2FFC749F}"/>
  <bookViews>
    <workbookView xWindow="22980" yWindow="-312" windowWidth="23256" windowHeight="12576" tabRatio="602" activeTab="7" xr2:uid="{A20E3CA5-7A46-443B-849E-145CA743A390}"/>
  </bookViews>
  <sheets>
    <sheet name="Colour Guide" sheetId="14" r:id="rId1"/>
    <sheet name="Regent" sheetId="17" r:id="rId2"/>
    <sheet name="InterContinental" sheetId="18" r:id="rId3"/>
    <sheet name="Kimpton" sheetId="29" r:id="rId4"/>
    <sheet name="Vignette" sheetId="19" r:id="rId5"/>
    <sheet name="Hotel Indigo" sheetId="16" r:id="rId6"/>
    <sheet name="voco" sheetId="21" r:id="rId7"/>
    <sheet name="Crowne Plaza" sheetId="20" r:id="rId8"/>
    <sheet name="EVEN Hotels" sheetId="22" r:id="rId9"/>
    <sheet name="Holiday Inn" sheetId="24" r:id="rId10"/>
    <sheet name="Holiday Inn Express" sheetId="1" r:id="rId11"/>
    <sheet name="avid Hotels" sheetId="25" r:id="rId12"/>
    <sheet name="Garner" sheetId="26" r:id="rId13"/>
    <sheet name="Atwell Suites" sheetId="27" r:id="rId14"/>
    <sheet name="Staybridge Suites" sheetId="28" r:id="rId15"/>
    <sheet name="Candlewood Suites" sheetId="23" r:id="rId16"/>
    <sheet name="All Courses" sheetId="15" r:id="rId17"/>
    <sheet name="OJT IDs" sheetId="30" r:id="rId18"/>
    <sheet name="OJT Links" sheetId="31" r:id="rId19"/>
  </sheets>
  <definedNames>
    <definedName name="_xlnm._FilterDatabase" localSheetId="13" hidden="1">'Atwell Suites'!$A$1:$F$3</definedName>
    <definedName name="_xlnm._FilterDatabase" localSheetId="11" hidden="1">'avid Hotels'!$A$1:$F$3</definedName>
    <definedName name="_xlnm._FilterDatabase" localSheetId="15" hidden="1">'Candlewood Suites'!$A$1:$F$3</definedName>
    <definedName name="_xlnm._FilterDatabase" localSheetId="7" hidden="1">'Crowne Plaza'!$A$1:$F$4</definedName>
    <definedName name="_xlnm._FilterDatabase" localSheetId="8" hidden="1">'EVEN Hotels'!$A$1:$F$3</definedName>
    <definedName name="_xlnm._FilterDatabase" localSheetId="12" hidden="1">Garner!$A$1:$F$3</definedName>
    <definedName name="_xlnm._FilterDatabase" localSheetId="9" hidden="1">'Holiday Inn'!$A$1:$F$3</definedName>
    <definedName name="_xlnm._FilterDatabase" localSheetId="10" hidden="1">'Holiday Inn Express'!$A$1:$F$3</definedName>
    <definedName name="_xlnm._FilterDatabase" localSheetId="5" hidden="1">'Hotel Indigo'!$A$1:$F$3</definedName>
    <definedName name="_xlnm._FilterDatabase" localSheetId="2" hidden="1">InterContinental!$A$1:$F$3</definedName>
    <definedName name="_xlnm._FilterDatabase" localSheetId="3" hidden="1">Kimpton!$A$1:$F$3</definedName>
    <definedName name="_xlnm._FilterDatabase" localSheetId="1" hidden="1">Regent!$A$1:$F$3</definedName>
    <definedName name="_xlnm._FilterDatabase" localSheetId="14" hidden="1">'Staybridge Suites'!$A$1:$F$3</definedName>
    <definedName name="_xlnm._FilterDatabase" localSheetId="4" hidden="1">Vignette!$A$1:$F$2</definedName>
    <definedName name="_xlnm._FilterDatabase" localSheetId="6" hidden="1">voco!$A$1:$F$3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0" l="1"/>
  <c r="F3" i="20"/>
  <c r="D6" i="20"/>
  <c r="E21" i="1"/>
  <c r="F21" i="1" s="1"/>
  <c r="E2" i="17"/>
  <c r="F2" i="17" s="1"/>
  <c r="E3" i="23"/>
  <c r="F3" i="23" s="1"/>
  <c r="E4" i="23"/>
  <c r="F4" i="23" s="1"/>
  <c r="E5" i="23"/>
  <c r="F5" i="23" s="1"/>
  <c r="E6" i="23"/>
  <c r="F6" i="23" s="1"/>
  <c r="E7" i="23"/>
  <c r="F7" i="23" s="1"/>
  <c r="E8" i="23"/>
  <c r="F8" i="23" s="1"/>
  <c r="E9" i="23"/>
  <c r="F9" i="23" s="1"/>
  <c r="E10" i="23"/>
  <c r="F10" i="23" s="1"/>
  <c r="E11" i="23"/>
  <c r="F11" i="23" s="1"/>
  <c r="E12" i="23"/>
  <c r="F12" i="23" s="1"/>
  <c r="E13" i="23"/>
  <c r="F13" i="23" s="1"/>
  <c r="E14" i="23"/>
  <c r="F14" i="23" s="1"/>
  <c r="E15" i="23"/>
  <c r="F15" i="23" s="1"/>
  <c r="E16" i="23"/>
  <c r="F16" i="23" s="1"/>
  <c r="E17" i="23"/>
  <c r="F17" i="23" s="1"/>
  <c r="E18" i="23"/>
  <c r="F18" i="23" s="1"/>
  <c r="E19" i="23"/>
  <c r="F19" i="23" s="1"/>
  <c r="E20" i="23"/>
  <c r="F20" i="23" s="1"/>
  <c r="E21" i="23"/>
  <c r="F21" i="23" s="1"/>
  <c r="E2" i="23"/>
  <c r="F2" i="23" s="1"/>
  <c r="E3" i="28"/>
  <c r="F3" i="28" s="1"/>
  <c r="E4" i="28"/>
  <c r="F4" i="28" s="1"/>
  <c r="E5" i="28"/>
  <c r="F5" i="28" s="1"/>
  <c r="E6" i="28"/>
  <c r="F6" i="28" s="1"/>
  <c r="E7" i="28"/>
  <c r="F7" i="28" s="1"/>
  <c r="E8" i="28"/>
  <c r="F8" i="28" s="1"/>
  <c r="E9" i="28"/>
  <c r="F9" i="28" s="1"/>
  <c r="E10" i="28"/>
  <c r="F10" i="28" s="1"/>
  <c r="E11" i="28"/>
  <c r="F11" i="28" s="1"/>
  <c r="E12" i="28"/>
  <c r="F12" i="28" s="1"/>
  <c r="E13" i="28"/>
  <c r="F13" i="28" s="1"/>
  <c r="E14" i="28"/>
  <c r="F14" i="28" s="1"/>
  <c r="E15" i="28"/>
  <c r="F15" i="28" s="1"/>
  <c r="E16" i="28"/>
  <c r="F16" i="28" s="1"/>
  <c r="E17" i="28"/>
  <c r="F17" i="28" s="1"/>
  <c r="E18" i="28"/>
  <c r="F18" i="28" s="1"/>
  <c r="E19" i="28"/>
  <c r="F19" i="28" s="1"/>
  <c r="E20" i="28"/>
  <c r="F20" i="28" s="1"/>
  <c r="E21" i="28"/>
  <c r="F21" i="28" s="1"/>
  <c r="E22" i="28"/>
  <c r="F22" i="28" s="1"/>
  <c r="E23" i="28"/>
  <c r="F23" i="28" s="1"/>
  <c r="E24" i="28"/>
  <c r="F24" i="28" s="1"/>
  <c r="E2" i="28"/>
  <c r="F2" i="28" s="1"/>
  <c r="E3" i="27"/>
  <c r="F3" i="27" s="1"/>
  <c r="E4" i="27"/>
  <c r="F4" i="27" s="1"/>
  <c r="E5" i="27"/>
  <c r="F5" i="27" s="1"/>
  <c r="E6" i="27"/>
  <c r="F6" i="27" s="1"/>
  <c r="E7" i="27"/>
  <c r="F7" i="27" s="1"/>
  <c r="E8" i="27"/>
  <c r="F8" i="27" s="1"/>
  <c r="E9" i="27"/>
  <c r="F9" i="27" s="1"/>
  <c r="E10" i="27"/>
  <c r="F10" i="27" s="1"/>
  <c r="E11" i="27"/>
  <c r="F11" i="27" s="1"/>
  <c r="E12" i="27"/>
  <c r="F12" i="27" s="1"/>
  <c r="E13" i="27"/>
  <c r="F13" i="27" s="1"/>
  <c r="E14" i="27"/>
  <c r="F14" i="27" s="1"/>
  <c r="E15" i="27"/>
  <c r="F15" i="27" s="1"/>
  <c r="E16" i="27"/>
  <c r="F16" i="27" s="1"/>
  <c r="E17" i="27"/>
  <c r="F17" i="27" s="1"/>
  <c r="E18" i="27"/>
  <c r="F18" i="27" s="1"/>
  <c r="E19" i="27"/>
  <c r="F19" i="27" s="1"/>
  <c r="E20" i="27"/>
  <c r="F20" i="27" s="1"/>
  <c r="E2" i="27"/>
  <c r="F2" i="27" s="1"/>
  <c r="E3" i="26"/>
  <c r="F3" i="26" s="1"/>
  <c r="E4" i="26"/>
  <c r="F4" i="26" s="1"/>
  <c r="E5" i="26"/>
  <c r="F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 i="26"/>
  <c r="F2" i="26" s="1"/>
  <c r="E2" i="25"/>
  <c r="F2" i="25" s="1"/>
  <c r="E3" i="25"/>
  <c r="F3" i="25" s="1"/>
  <c r="E4" i="25"/>
  <c r="F4" i="25" s="1"/>
  <c r="E5" i="25"/>
  <c r="F5" i="25" s="1"/>
  <c r="E6" i="25"/>
  <c r="F6" i="25" s="1"/>
  <c r="E7" i="25"/>
  <c r="F7" i="25" s="1"/>
  <c r="E8" i="25"/>
  <c r="F8" i="25" s="1"/>
  <c r="E9" i="25"/>
  <c r="F9" i="25" s="1"/>
  <c r="E10" i="25"/>
  <c r="F10" i="25" s="1"/>
  <c r="E11" i="25"/>
  <c r="F11" i="25" s="1"/>
  <c r="E12" i="25"/>
  <c r="F12" i="25" s="1"/>
  <c r="E13" i="25"/>
  <c r="F13" i="25" s="1"/>
  <c r="E14" i="25"/>
  <c r="F14" i="25" s="1"/>
  <c r="E15" i="25"/>
  <c r="F15" i="25" s="1"/>
  <c r="E16" i="25"/>
  <c r="F16" i="25" s="1"/>
  <c r="E17" i="25"/>
  <c r="F17" i="25" s="1"/>
  <c r="E18" i="25"/>
  <c r="F18" i="25" s="1"/>
  <c r="E19" i="25"/>
  <c r="F19" i="25" s="1"/>
  <c r="E20" i="25"/>
  <c r="F20" i="25" s="1"/>
  <c r="E21" i="25"/>
  <c r="F21" i="25" s="1"/>
  <c r="E22" i="25"/>
  <c r="F22" i="25" s="1"/>
  <c r="E23" i="25"/>
  <c r="F23" i="25" s="1"/>
  <c r="E24" i="25"/>
  <c r="F24" i="25"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 i="1"/>
  <c r="F2" i="1" s="1"/>
  <c r="E3" i="24"/>
  <c r="F3" i="24" s="1"/>
  <c r="E4" i="24"/>
  <c r="F4" i="24" s="1"/>
  <c r="E5" i="24"/>
  <c r="F5" i="24" s="1"/>
  <c r="E6" i="24"/>
  <c r="F6" i="24" s="1"/>
  <c r="E7" i="24"/>
  <c r="F7" i="24" s="1"/>
  <c r="E8" i="24"/>
  <c r="F8" i="24" s="1"/>
  <c r="E9" i="24"/>
  <c r="F9" i="24" s="1"/>
  <c r="E10" i="24"/>
  <c r="F10" i="24" s="1"/>
  <c r="E11" i="24"/>
  <c r="F11" i="24" s="1"/>
  <c r="E12" i="24"/>
  <c r="F12" i="24" s="1"/>
  <c r="E13" i="24"/>
  <c r="F13" i="24" s="1"/>
  <c r="E14" i="24"/>
  <c r="F14" i="24" s="1"/>
  <c r="E15" i="24"/>
  <c r="F15" i="24" s="1"/>
  <c r="E16" i="24"/>
  <c r="F16" i="24" s="1"/>
  <c r="E17" i="24"/>
  <c r="F17" i="24" s="1"/>
  <c r="E18" i="24"/>
  <c r="F18" i="24" s="1"/>
  <c r="E19" i="24"/>
  <c r="F19" i="24" s="1"/>
  <c r="E20" i="24"/>
  <c r="F20" i="24" s="1"/>
  <c r="E21" i="24"/>
  <c r="F21" i="24" s="1"/>
  <c r="E22" i="24"/>
  <c r="F22" i="24" s="1"/>
  <c r="E23" i="24"/>
  <c r="F23" i="24" s="1"/>
  <c r="E24" i="24"/>
  <c r="F24" i="24" s="1"/>
  <c r="E25" i="24"/>
  <c r="F25" i="24" s="1"/>
  <c r="E2" i="24"/>
  <c r="F2" i="24" s="1"/>
  <c r="E3" i="22"/>
  <c r="F3" i="22" s="1"/>
  <c r="E4" i="22"/>
  <c r="F4" i="22" s="1"/>
  <c r="E5" i="22"/>
  <c r="F5" i="22" s="1"/>
  <c r="E6" i="22"/>
  <c r="F6" i="22" s="1"/>
  <c r="E7" i="22"/>
  <c r="F7" i="22" s="1"/>
  <c r="E8" i="22"/>
  <c r="F8" i="22" s="1"/>
  <c r="E9" i="22"/>
  <c r="F9" i="22" s="1"/>
  <c r="E10" i="22"/>
  <c r="F10" i="22" s="1"/>
  <c r="E11" i="22"/>
  <c r="F11" i="22" s="1"/>
  <c r="E12" i="22"/>
  <c r="F12" i="22" s="1"/>
  <c r="E13" i="22"/>
  <c r="F13" i="22" s="1"/>
  <c r="E14" i="22"/>
  <c r="F14" i="22" s="1"/>
  <c r="E15" i="22"/>
  <c r="F15" i="22" s="1"/>
  <c r="E16" i="22"/>
  <c r="F16" i="22" s="1"/>
  <c r="E17" i="22"/>
  <c r="F17" i="22" s="1"/>
  <c r="E18" i="22"/>
  <c r="F18" i="22" s="1"/>
  <c r="E19" i="22"/>
  <c r="F19" i="22" s="1"/>
  <c r="E20" i="22"/>
  <c r="F20" i="22" s="1"/>
  <c r="E21" i="22"/>
  <c r="F21" i="22" s="1"/>
  <c r="E22" i="22"/>
  <c r="F22" i="22" s="1"/>
  <c r="E23" i="22"/>
  <c r="F23" i="22" s="1"/>
  <c r="E2" i="22"/>
  <c r="F2" i="22" s="1"/>
  <c r="E4" i="20"/>
  <c r="F4" i="20" s="1"/>
  <c r="E5" i="20"/>
  <c r="F5"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3" i="21"/>
  <c r="F3" i="21" s="1"/>
  <c r="E4" i="21"/>
  <c r="F4" i="21" s="1"/>
  <c r="E5" i="21"/>
  <c r="F5" i="21" s="1"/>
  <c r="E6" i="21"/>
  <c r="F6" i="21" s="1"/>
  <c r="E7" i="21"/>
  <c r="F7" i="21" s="1"/>
  <c r="E8" i="21"/>
  <c r="F8" i="21" s="1"/>
  <c r="E9" i="21"/>
  <c r="F9" i="21" s="1"/>
  <c r="E10" i="21"/>
  <c r="F10" i="21" s="1"/>
  <c r="E11" i="21"/>
  <c r="F11" i="21" s="1"/>
  <c r="E12" i="21"/>
  <c r="F12" i="21" s="1"/>
  <c r="E13" i="21"/>
  <c r="F13" i="21" s="1"/>
  <c r="E14" i="21"/>
  <c r="F14" i="21" s="1"/>
  <c r="E15" i="21"/>
  <c r="F15" i="21" s="1"/>
  <c r="E16" i="21"/>
  <c r="F16" i="21" s="1"/>
  <c r="E17" i="21"/>
  <c r="F17" i="21" s="1"/>
  <c r="E18" i="21"/>
  <c r="F18" i="21" s="1"/>
  <c r="E19" i="21"/>
  <c r="F19" i="21" s="1"/>
  <c r="E20" i="21"/>
  <c r="F20" i="21" s="1"/>
  <c r="E21" i="21"/>
  <c r="F21" i="21" s="1"/>
  <c r="E2" i="21"/>
  <c r="F2" i="21" s="1"/>
  <c r="E3" i="16"/>
  <c r="F3" i="16" s="1"/>
  <c r="E4" i="16"/>
  <c r="F4" i="16" s="1"/>
  <c r="E5" i="16"/>
  <c r="F5" i="16" s="1"/>
  <c r="E6" i="16"/>
  <c r="F6" i="16" s="1"/>
  <c r="E7" i="16"/>
  <c r="F7" i="16" s="1"/>
  <c r="E8" i="16"/>
  <c r="F8" i="16" s="1"/>
  <c r="E9" i="16"/>
  <c r="F9" i="16" s="1"/>
  <c r="E10" i="16"/>
  <c r="F10" i="16" s="1"/>
  <c r="E11" i="16"/>
  <c r="F11" i="16" s="1"/>
  <c r="E12" i="16"/>
  <c r="F12" i="16" s="1"/>
  <c r="E13" i="16"/>
  <c r="F13" i="16" s="1"/>
  <c r="E14" i="16"/>
  <c r="F14" i="16" s="1"/>
  <c r="E15" i="16"/>
  <c r="F15" i="16" s="1"/>
  <c r="E16" i="16"/>
  <c r="F16" i="16" s="1"/>
  <c r="E17" i="16"/>
  <c r="F17" i="16" s="1"/>
  <c r="E18" i="16"/>
  <c r="F18" i="16" s="1"/>
  <c r="E19" i="16"/>
  <c r="F19" i="16" s="1"/>
  <c r="E20" i="16"/>
  <c r="F20" i="16" s="1"/>
  <c r="E21" i="16"/>
  <c r="F21" i="16" s="1"/>
  <c r="E22" i="16"/>
  <c r="F22" i="16" s="1"/>
  <c r="E23" i="16"/>
  <c r="F23" i="16" s="1"/>
  <c r="E24" i="16"/>
  <c r="F24" i="16" s="1"/>
  <c r="E2" i="16"/>
  <c r="F2" i="16" s="1"/>
  <c r="E2" i="19"/>
  <c r="F2" i="19" s="1"/>
  <c r="E3" i="19"/>
  <c r="F3" i="19" s="1"/>
  <c r="E4" i="19"/>
  <c r="F4" i="19" s="1"/>
  <c r="E5" i="19"/>
  <c r="F5" i="19" s="1"/>
  <c r="E6" i="19"/>
  <c r="F6" i="19" s="1"/>
  <c r="E7" i="19"/>
  <c r="F7" i="19" s="1"/>
  <c r="E8" i="19"/>
  <c r="F8" i="19" s="1"/>
  <c r="E9" i="19"/>
  <c r="F9" i="19" s="1"/>
  <c r="E10" i="19"/>
  <c r="F10" i="19" s="1"/>
  <c r="E11" i="19"/>
  <c r="F11" i="19" s="1"/>
  <c r="E12" i="19"/>
  <c r="F12" i="19" s="1"/>
  <c r="E13" i="19"/>
  <c r="F13" i="19" s="1"/>
  <c r="E14" i="19"/>
  <c r="F14" i="19" s="1"/>
  <c r="E15" i="19"/>
  <c r="F15" i="19" s="1"/>
  <c r="E16" i="19"/>
  <c r="F16" i="19" s="1"/>
  <c r="E17" i="19"/>
  <c r="F17" i="19" s="1"/>
  <c r="E18" i="19"/>
  <c r="F18" i="19" s="1"/>
  <c r="E19" i="19"/>
  <c r="F19" i="19" s="1"/>
  <c r="E20" i="19"/>
  <c r="F20" i="19" s="1"/>
  <c r="E3" i="29"/>
  <c r="F3" i="29" s="1"/>
  <c r="E4" i="29"/>
  <c r="F4" i="29" s="1"/>
  <c r="E5" i="29"/>
  <c r="F5" i="29" s="1"/>
  <c r="E6" i="29"/>
  <c r="F6" i="29" s="1"/>
  <c r="E7" i="29"/>
  <c r="F7" i="29" s="1"/>
  <c r="E8" i="29"/>
  <c r="F8" i="29" s="1"/>
  <c r="E9" i="29"/>
  <c r="F9" i="29" s="1"/>
  <c r="E10" i="29"/>
  <c r="F10" i="29" s="1"/>
  <c r="E11" i="29"/>
  <c r="F11" i="29" s="1"/>
  <c r="E12" i="29"/>
  <c r="F12" i="29" s="1"/>
  <c r="E13" i="29"/>
  <c r="F13" i="29" s="1"/>
  <c r="E14" i="29"/>
  <c r="F14" i="29" s="1"/>
  <c r="E15" i="29"/>
  <c r="F15" i="29" s="1"/>
  <c r="E16" i="29"/>
  <c r="F16" i="29" s="1"/>
  <c r="E17" i="29"/>
  <c r="F17" i="29" s="1"/>
  <c r="E18" i="29"/>
  <c r="F18" i="29" s="1"/>
  <c r="E19" i="29"/>
  <c r="F19" i="29" s="1"/>
  <c r="E20" i="29"/>
  <c r="F20" i="29" s="1"/>
  <c r="E21" i="29"/>
  <c r="F21" i="29" s="1"/>
  <c r="E22" i="29"/>
  <c r="F22" i="29" s="1"/>
  <c r="E2" i="29"/>
  <c r="F2" i="29" s="1"/>
  <c r="E3" i="18"/>
  <c r="F3" i="18" s="1"/>
  <c r="E4" i="18"/>
  <c r="F4" i="18" s="1"/>
  <c r="E5" i="18"/>
  <c r="F5" i="18" s="1"/>
  <c r="E6" i="18"/>
  <c r="F6" i="18" s="1"/>
  <c r="E7" i="18"/>
  <c r="F7" i="18" s="1"/>
  <c r="E8" i="18"/>
  <c r="F8" i="18" s="1"/>
  <c r="E9" i="18"/>
  <c r="F9" i="18" s="1"/>
  <c r="E10" i="18"/>
  <c r="F10" i="18" s="1"/>
  <c r="E11" i="18"/>
  <c r="F11" i="18" s="1"/>
  <c r="E12" i="18"/>
  <c r="F12" i="18" s="1"/>
  <c r="E13" i="18"/>
  <c r="F13" i="18" s="1"/>
  <c r="E14" i="18"/>
  <c r="F14" i="18" s="1"/>
  <c r="E15" i="18"/>
  <c r="F15" i="18" s="1"/>
  <c r="E16" i="18"/>
  <c r="F16" i="18" s="1"/>
  <c r="E17" i="18"/>
  <c r="F17" i="18" s="1"/>
  <c r="E18" i="18"/>
  <c r="F18" i="18" s="1"/>
  <c r="E19" i="18"/>
  <c r="F19" i="18" s="1"/>
  <c r="E20" i="18"/>
  <c r="F20" i="18" s="1"/>
  <c r="E21" i="18"/>
  <c r="F21" i="18" s="1"/>
  <c r="E22" i="18"/>
  <c r="F22" i="18" s="1"/>
  <c r="E2" i="18"/>
  <c r="F2" i="18" s="1"/>
  <c r="E3" i="17"/>
  <c r="F3" i="17" s="1"/>
  <c r="E4" i="17"/>
  <c r="F4" i="17" s="1"/>
  <c r="E5" i="17"/>
  <c r="F5" i="17" s="1"/>
  <c r="E6" i="17"/>
  <c r="F6" i="17" s="1"/>
  <c r="E7" i="17"/>
  <c r="F7" i="17" s="1"/>
  <c r="E8" i="17"/>
  <c r="F8" i="17" s="1"/>
  <c r="E9" i="17"/>
  <c r="F9" i="17" s="1"/>
  <c r="E10" i="17"/>
  <c r="F10" i="17" s="1"/>
  <c r="E11" i="17"/>
  <c r="F11" i="17" s="1"/>
  <c r="E12" i="17"/>
  <c r="F12" i="17" s="1"/>
  <c r="E13" i="17"/>
  <c r="F13" i="17" s="1"/>
  <c r="E14" i="17"/>
  <c r="F14" i="17" s="1"/>
  <c r="E15" i="17"/>
  <c r="F15" i="17" s="1"/>
  <c r="E16" i="17"/>
  <c r="F16" i="17" s="1"/>
  <c r="E17" i="17"/>
  <c r="F17" i="17" s="1"/>
  <c r="E18" i="17"/>
  <c r="F18" i="17" s="1"/>
  <c r="E19" i="17"/>
  <c r="F19" i="17" s="1"/>
  <c r="E20" i="17"/>
  <c r="F20" i="17" s="1"/>
  <c r="E21" i="17"/>
  <c r="F21" i="17" s="1"/>
  <c r="D39" i="29"/>
  <c r="D38" i="29"/>
  <c r="D37" i="29"/>
  <c r="D36" i="29"/>
  <c r="D35" i="29"/>
  <c r="D34" i="29"/>
  <c r="D33" i="29"/>
  <c r="D32" i="29"/>
  <c r="D31" i="29"/>
  <c r="D30" i="29"/>
  <c r="D29" i="29"/>
  <c r="D28" i="29"/>
  <c r="D27" i="29"/>
  <c r="D26" i="29"/>
  <c r="D25" i="29"/>
  <c r="D24" i="29"/>
  <c r="D23" i="29"/>
  <c r="D20" i="29"/>
  <c r="D19" i="29"/>
  <c r="D17" i="29"/>
  <c r="D16" i="29"/>
  <c r="D15" i="29"/>
  <c r="D14" i="29"/>
  <c r="D13" i="29"/>
  <c r="D12" i="29"/>
  <c r="D11" i="29"/>
  <c r="D10" i="29"/>
  <c r="D9" i="29"/>
  <c r="D8" i="29"/>
  <c r="D6" i="29"/>
  <c r="D5" i="29"/>
  <c r="D3" i="29"/>
  <c r="D39" i="28"/>
  <c r="D38" i="28"/>
  <c r="D37" i="28"/>
  <c r="D36" i="28"/>
  <c r="D35" i="28"/>
  <c r="D34" i="28"/>
  <c r="D33" i="28"/>
  <c r="D32" i="28"/>
  <c r="D31" i="28"/>
  <c r="D30" i="28"/>
  <c r="D29" i="28"/>
  <c r="D28" i="28"/>
  <c r="D27" i="28"/>
  <c r="D26" i="28"/>
  <c r="D25" i="28"/>
  <c r="D24" i="28"/>
  <c r="D23" i="28"/>
  <c r="D21" i="28"/>
  <c r="D20" i="28"/>
  <c r="D19" i="28"/>
  <c r="D18" i="28"/>
  <c r="D16" i="28"/>
  <c r="D15" i="28"/>
  <c r="D14" i="28"/>
  <c r="D13" i="28"/>
  <c r="D12" i="28"/>
  <c r="D11" i="28"/>
  <c r="D10" i="28"/>
  <c r="D9" i="28"/>
  <c r="D8" i="28"/>
  <c r="D6" i="28"/>
  <c r="D5" i="28"/>
  <c r="D3" i="28"/>
  <c r="D39" i="27"/>
  <c r="D38" i="27"/>
  <c r="D37" i="27"/>
  <c r="D36" i="27"/>
  <c r="D35" i="27"/>
  <c r="D34" i="27"/>
  <c r="D33" i="27"/>
  <c r="D32" i="27"/>
  <c r="D31" i="27"/>
  <c r="D30" i="27"/>
  <c r="D29" i="27"/>
  <c r="D28" i="27"/>
  <c r="D27" i="27"/>
  <c r="D26" i="27"/>
  <c r="D25" i="27"/>
  <c r="D24" i="27"/>
  <c r="D23" i="27"/>
  <c r="D22" i="27"/>
  <c r="D21" i="27"/>
  <c r="D20" i="27"/>
  <c r="D18" i="27"/>
  <c r="D17" i="27"/>
  <c r="D15" i="27"/>
  <c r="D14" i="27"/>
  <c r="D13" i="27"/>
  <c r="D12" i="27"/>
  <c r="D11" i="27"/>
  <c r="D10" i="27"/>
  <c r="D9" i="27"/>
  <c r="D8" i="27"/>
  <c r="D7" i="27"/>
  <c r="D5" i="27"/>
  <c r="D4" i="27"/>
  <c r="D2" i="27"/>
  <c r="D39" i="26"/>
  <c r="D38" i="26"/>
  <c r="D37" i="26"/>
  <c r="D36" i="26"/>
  <c r="D35" i="26"/>
  <c r="D34" i="26"/>
  <c r="D33" i="26"/>
  <c r="D32" i="26"/>
  <c r="D31" i="26"/>
  <c r="D30" i="26"/>
  <c r="D29" i="26"/>
  <c r="D28" i="26"/>
  <c r="D27" i="26"/>
  <c r="D26" i="26"/>
  <c r="D25" i="26"/>
  <c r="D24" i="26"/>
  <c r="D23" i="26"/>
  <c r="D22" i="26"/>
  <c r="D21" i="26"/>
  <c r="D20" i="26"/>
  <c r="D18" i="26"/>
  <c r="D17" i="26"/>
  <c r="D15" i="26"/>
  <c r="D14" i="26"/>
  <c r="D13" i="26"/>
  <c r="D12" i="26"/>
  <c r="D11" i="26"/>
  <c r="D10" i="26"/>
  <c r="D9" i="26"/>
  <c r="D8" i="26"/>
  <c r="D7" i="26"/>
  <c r="D5" i="26"/>
  <c r="D4" i="26"/>
  <c r="D2" i="26"/>
  <c r="D39" i="25"/>
  <c r="D38" i="25"/>
  <c r="D37" i="25"/>
  <c r="D36" i="25"/>
  <c r="D35" i="25"/>
  <c r="D34" i="25"/>
  <c r="D33" i="25"/>
  <c r="D32" i="25"/>
  <c r="D31" i="25"/>
  <c r="D30" i="25"/>
  <c r="D29" i="25"/>
  <c r="D28" i="25"/>
  <c r="D27" i="25"/>
  <c r="D26" i="25"/>
  <c r="D25" i="25"/>
  <c r="D24" i="25"/>
  <c r="D23" i="25"/>
  <c r="D22" i="25"/>
  <c r="D21" i="25"/>
  <c r="D19" i="25"/>
  <c r="D18" i="25"/>
  <c r="D17" i="25"/>
  <c r="D15" i="25"/>
  <c r="D14" i="25"/>
  <c r="D13" i="25"/>
  <c r="D12" i="25"/>
  <c r="D11" i="25"/>
  <c r="D10" i="25"/>
  <c r="D9" i="25"/>
  <c r="D8" i="25"/>
  <c r="D7" i="25"/>
  <c r="D5" i="25"/>
  <c r="D4" i="25"/>
  <c r="D2" i="25"/>
  <c r="D39" i="24"/>
  <c r="D38" i="24"/>
  <c r="D37" i="24"/>
  <c r="D36" i="24"/>
  <c r="D35" i="24"/>
  <c r="D34" i="24"/>
  <c r="D33" i="24"/>
  <c r="D32" i="24"/>
  <c r="D31" i="24"/>
  <c r="D30" i="24"/>
  <c r="D29" i="24"/>
  <c r="D28" i="24"/>
  <c r="D27" i="24"/>
  <c r="D26" i="24"/>
  <c r="D25" i="24"/>
  <c r="D23" i="24"/>
  <c r="D22" i="24"/>
  <c r="D20" i="24"/>
  <c r="D19" i="24"/>
  <c r="D18" i="24"/>
  <c r="D17" i="24"/>
  <c r="D16" i="24"/>
  <c r="D15" i="24"/>
  <c r="D14" i="24"/>
  <c r="D13" i="24"/>
  <c r="D12" i="24"/>
  <c r="D10" i="24"/>
  <c r="D9" i="24"/>
  <c r="D8" i="24"/>
  <c r="D7" i="24"/>
  <c r="D6" i="24"/>
  <c r="D4" i="24"/>
  <c r="D2" i="24"/>
  <c r="D39" i="23"/>
  <c r="D38" i="23"/>
  <c r="D37" i="23"/>
  <c r="D36" i="23"/>
  <c r="D35" i="23"/>
  <c r="D34" i="23"/>
  <c r="D33" i="23"/>
  <c r="D32" i="23"/>
  <c r="D31" i="23"/>
  <c r="D30" i="23"/>
  <c r="D29" i="23"/>
  <c r="D28" i="23"/>
  <c r="D27" i="23"/>
  <c r="D26" i="23"/>
  <c r="D25" i="23"/>
  <c r="D24" i="23"/>
  <c r="D23" i="23"/>
  <c r="D22" i="23"/>
  <c r="D21" i="23"/>
  <c r="D20" i="23"/>
  <c r="D18" i="23"/>
  <c r="D17" i="23"/>
  <c r="D15" i="23"/>
  <c r="D14" i="23"/>
  <c r="D13" i="23"/>
  <c r="D12" i="23"/>
  <c r="D11" i="23"/>
  <c r="D10" i="23"/>
  <c r="D9" i="23"/>
  <c r="D8" i="23"/>
  <c r="D7" i="23"/>
  <c r="D5" i="23"/>
  <c r="D4" i="23"/>
  <c r="D2" i="23"/>
  <c r="D3" i="22"/>
  <c r="D5" i="22"/>
  <c r="D6" i="22"/>
  <c r="D7" i="22"/>
  <c r="D8" i="22"/>
  <c r="D10" i="22"/>
  <c r="D11" i="22"/>
  <c r="D12" i="22"/>
  <c r="D13" i="22"/>
  <c r="D14" i="22"/>
  <c r="D15" i="22"/>
  <c r="D16" i="22"/>
  <c r="D17" i="22"/>
  <c r="D18" i="22"/>
  <c r="D20" i="22"/>
  <c r="D21" i="22"/>
  <c r="D23" i="22"/>
  <c r="D24" i="22"/>
  <c r="D25" i="22"/>
  <c r="D26" i="22"/>
  <c r="D27" i="22"/>
  <c r="D28" i="22"/>
  <c r="D29" i="22"/>
  <c r="D30" i="22"/>
  <c r="D31" i="22"/>
  <c r="D32" i="22"/>
  <c r="D33" i="22"/>
  <c r="D34" i="22"/>
  <c r="D35" i="22"/>
  <c r="D36" i="22"/>
  <c r="D37" i="22"/>
  <c r="D38" i="22"/>
  <c r="D39" i="22"/>
  <c r="D4" i="20"/>
  <c r="D5" i="20"/>
  <c r="D7" i="20"/>
  <c r="D9" i="20"/>
  <c r="D10" i="20"/>
  <c r="D12" i="20"/>
  <c r="D13" i="20"/>
  <c r="D14" i="20"/>
  <c r="D15" i="20"/>
  <c r="D16" i="20"/>
  <c r="D17" i="20"/>
  <c r="D18" i="20"/>
  <c r="D19" i="20"/>
  <c r="D20" i="20"/>
  <c r="D22" i="20"/>
  <c r="D23" i="20"/>
  <c r="D25" i="20"/>
  <c r="D26" i="20"/>
  <c r="D2" i="22"/>
  <c r="D4" i="21"/>
  <c r="D5" i="21"/>
  <c r="D7" i="21"/>
  <c r="D8" i="21"/>
  <c r="D9" i="21"/>
  <c r="D10" i="21"/>
  <c r="D11" i="21"/>
  <c r="D12" i="21"/>
  <c r="D13" i="21"/>
  <c r="D14" i="21"/>
  <c r="D15" i="21"/>
  <c r="D17" i="21"/>
  <c r="D18" i="21"/>
  <c r="D20" i="21"/>
  <c r="D21" i="21"/>
  <c r="D2" i="21"/>
  <c r="D2" i="19"/>
  <c r="D4" i="19"/>
  <c r="D5" i="19"/>
  <c r="D7" i="19"/>
  <c r="D8" i="19"/>
  <c r="D9" i="19"/>
  <c r="D10" i="19"/>
  <c r="D11" i="19"/>
  <c r="D12" i="19"/>
  <c r="D13" i="19"/>
  <c r="D15" i="19"/>
  <c r="D16" i="19"/>
  <c r="D18" i="19"/>
  <c r="D19" i="19"/>
  <c r="D3" i="18"/>
  <c r="D5" i="18"/>
  <c r="D6" i="18"/>
  <c r="D8" i="18"/>
  <c r="D9" i="18"/>
  <c r="D10" i="18"/>
  <c r="D11" i="18"/>
  <c r="D12" i="18"/>
  <c r="D13" i="18"/>
  <c r="D14" i="18"/>
  <c r="D16" i="18"/>
  <c r="D17" i="18"/>
  <c r="D19" i="18"/>
  <c r="D20" i="18"/>
  <c r="D3" i="17"/>
  <c r="D5" i="17"/>
  <c r="D6" i="17"/>
  <c r="D8" i="17"/>
  <c r="D9" i="17"/>
  <c r="D10" i="17"/>
  <c r="D11" i="17"/>
  <c r="D12" i="17"/>
  <c r="D13" i="17"/>
  <c r="D14" i="17"/>
  <c r="D16" i="17"/>
  <c r="D17" i="17"/>
  <c r="D19" i="17"/>
  <c r="D20" i="17"/>
  <c r="D3" i="16"/>
  <c r="D5" i="16"/>
  <c r="D7" i="16"/>
  <c r="D8" i="16"/>
  <c r="D10" i="16"/>
  <c r="D11" i="16"/>
  <c r="D12" i="16"/>
  <c r="D13" i="16"/>
  <c r="D14" i="16"/>
  <c r="D15" i="16"/>
  <c r="D16" i="16"/>
  <c r="D17" i="16"/>
  <c r="D18" i="16"/>
  <c r="D20" i="16"/>
  <c r="D21" i="16"/>
  <c r="D23" i="16"/>
  <c r="D24" i="16"/>
  <c r="D2" i="16"/>
  <c r="D5" i="1" l="1"/>
  <c r="D6" i="1"/>
  <c r="D9" i="1"/>
  <c r="D10" i="1"/>
  <c r="D11" i="1"/>
  <c r="D12" i="1"/>
  <c r="D13" i="1"/>
  <c r="D14" i="1"/>
  <c r="D15" i="1"/>
  <c r="D16" i="1"/>
  <c r="D18" i="1"/>
  <c r="D19" i="1"/>
  <c r="D21" i="1"/>
  <c r="D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tc={19DFA244-5767-4283-9280-51570E9D02D5}</author>
    <author>tc={56D9227F-5520-462E-9D5E-D99E5740FB23}</author>
  </authors>
  <commentList>
    <comment ref="B2" authorId="0" shapeId="0" xr:uid="{19DFA244-5767-4283-9280-51570E9D02D5}">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E2" authorId="1" shapeId="0" xr:uid="{56D9227F-5520-462E-9D5E-D99E5740FB23}">
      <text>
        <t>[Threaded comment]
Your version of Excel allows you to read this threaded comment; however, any edits to it will get removed if the file is opened in a newer version of Excel. Learn more: https://go.microsoft.com/fwlink/?linkid=870924
Comment:
    this will be used on the dashboard to guide training managers on how to deliver this content and who the audience is if relevant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tc={CACF38ED-51B7-415A-B7A4-A12984AC0CBB}</author>
    <author>tc={4437F7AA-2DF6-4480-89E6-548D183BC5E0}</author>
  </authors>
  <commentList>
    <comment ref="B2" authorId="0" shapeId="0" xr:uid="{CACF38ED-51B7-415A-B7A4-A12984AC0CBB}">
      <text>
        <t>[Threaded comment]
Your version of Excel allows you to read this threaded comment; however, any edits to it will get removed if the file is opened in a newer version of Excel. Learn more: https://go.microsoft.com/fwlink/?linkid=870924
Comment:
    Online - if there is an online version.  On Property if only available as an OJT</t>
      </text>
    </comment>
    <comment ref="C2" authorId="1" shapeId="0" xr:uid="{4437F7AA-2DF6-4480-89E6-548D183BC5E0}">
      <text>
        <t>[Threaded comment]
Your version of Excel allows you to read this threaded comment; however, any edits to it will get removed if the file is opened in a newer version of Excel. Learn more: https://go.microsoft.com/fwlink/?linkid=870924
Comment:
    If online course exists the description will be copied, no need to fill out.  If OJT only then a description of the course is required</t>
      </text>
    </comment>
  </commentList>
</comments>
</file>

<file path=xl/sharedStrings.xml><?xml version="1.0" encoding="utf-8"?>
<sst xmlns="http://schemas.openxmlformats.org/spreadsheetml/2006/main" count="2910" uniqueCount="579">
  <si>
    <t>Brand</t>
  </si>
  <si>
    <t>Primary</t>
  </si>
  <si>
    <t>Secondary</t>
  </si>
  <si>
    <t>Holiday Inn Express</t>
  </si>
  <si>
    <t>#002D72</t>
  </si>
  <si>
    <t>#9BCBEB</t>
  </si>
  <si>
    <t>#E35205</t>
  </si>
  <si>
    <t xml:space="preserve">Holiday Inn </t>
  </si>
  <si>
    <t>#1C4B34</t>
  </si>
  <si>
    <t>#578272</t>
  </si>
  <si>
    <t>#9BC5B7</t>
  </si>
  <si>
    <t>avid hotels</t>
  </si>
  <si>
    <t>#68D2DF</t>
  </si>
  <si>
    <t>#FF0000</t>
  </si>
  <si>
    <t xml:space="preserve">Garner </t>
  </si>
  <si>
    <t>#ABDBC6</t>
  </si>
  <si>
    <t>#FBF8EB</t>
  </si>
  <si>
    <t>Atwell Suites</t>
  </si>
  <si>
    <t>#6C714D</t>
  </si>
  <si>
    <t>#E8CEBD</t>
  </si>
  <si>
    <t>#B46A55</t>
  </si>
  <si>
    <t>Staybridge Suites</t>
  </si>
  <si>
    <t>#006980</t>
  </si>
  <si>
    <t>Candlewood Suites</t>
  </si>
  <si>
    <t>#9B2241</t>
  </si>
  <si>
    <t>#00205B</t>
  </si>
  <si>
    <t>Even Hotels</t>
  </si>
  <si>
    <t>#164945</t>
  </si>
  <si>
    <t>voco</t>
  </si>
  <si>
    <t>#121217</t>
  </si>
  <si>
    <t>#F8B9OD</t>
  </si>
  <si>
    <t>Crowne Plaza</t>
  </si>
  <si>
    <t>#A00062</t>
  </si>
  <si>
    <t>#515A61</t>
  </si>
  <si>
    <t>Hotel Indigo</t>
  </si>
  <si>
    <t>#2E5992</t>
  </si>
  <si>
    <t>#D8A400</t>
  </si>
  <si>
    <t>Vignette</t>
  </si>
  <si>
    <t>#2E273B</t>
  </si>
  <si>
    <t>#E9D0D5</t>
  </si>
  <si>
    <t>Intercontinental</t>
  </si>
  <si>
    <t>#3D3935</t>
  </si>
  <si>
    <t>#CBC5BE</t>
  </si>
  <si>
    <t>Regent</t>
  </si>
  <si>
    <t>#D6E3DC</t>
  </si>
  <si>
    <t>F5E1CC</t>
  </si>
  <si>
    <t>#211551</t>
  </si>
  <si>
    <t>Kimpton</t>
  </si>
  <si>
    <t>#58565C</t>
  </si>
  <si>
    <t>#FFFFFF</t>
  </si>
  <si>
    <t>Course Title</t>
  </si>
  <si>
    <t xml:space="preserve">Instructions </t>
  </si>
  <si>
    <t>Hyperlink for Access</t>
  </si>
  <si>
    <t>Access ______</t>
  </si>
  <si>
    <t>Not visible to learner: OJT Course ID:</t>
  </si>
  <si>
    <t>Create OJT Button</t>
  </si>
  <si>
    <t>Business Services training</t>
  </si>
  <si>
    <t>Review maunufactor operating manuals for equipment and software.</t>
  </si>
  <si>
    <t>View the videos with your group to complete the learning offer</t>
  </si>
  <si>
    <t>https://mylearning.sumtotal.host/core/pillarRedirect?relyingParty=LM&amp;url=app%2fmanagement%2fLMS_ActDetails.aspx%3fActivityId%3d41%26UserMode%3d0</t>
  </si>
  <si>
    <t>First Aid</t>
  </si>
  <si>
    <t xml:space="preserve">Review your first aid procedures and practices. </t>
  </si>
  <si>
    <t>Handling Credit Cards Securely</t>
  </si>
  <si>
    <t>https://me2.ihgmerlin.com/web/init-ihg-information-security/homeandhttps://me2.ihgmerlin.com/web/init-pci-compliance</t>
  </si>
  <si>
    <t>Health &amp; Safety, Security an Emergency Procedures</t>
  </si>
  <si>
    <t>Review your health safety and security procedures, including fire evacuation plan.</t>
  </si>
  <si>
    <t>Link</t>
  </si>
  <si>
    <t>Housekeeping Safety Device (US &amp; Canada only)</t>
  </si>
  <si>
    <t>Review maunufactor operating manual for equipment and procedure for action when an alarm is triggered</t>
  </si>
  <si>
    <t>View the videos with your group to complete the learning offer . Once complete, review the assessments as a group. NOTE: Assessment records are not required)</t>
  </si>
  <si>
    <t>https://mylearning.sumtotal.host/core/pillarRedirect?relyingParty=LM&amp;url=app%2fmanagement%2fLMS_ActDetails.aspx%3fActivityId%3d52090%26UserMode%3d0</t>
  </si>
  <si>
    <t>IHG Voice Program Training</t>
  </si>
  <si>
    <t>https://mylearning.sumtotal.host/core/pillarRedirect?relyingParty=LM&amp;url=app%2fmanagement%2fLMS_ActDetails.aspx%3fActivityId%3d2823%26UserMode%3d0</t>
  </si>
  <si>
    <t>IHG Way of Clean 5-S Cleaning Program for Non-Housekeeping Colleagues</t>
  </si>
  <si>
    <t>Introduction to Information Security</t>
  </si>
  <si>
    <t>Luxury Fundamentals</t>
  </si>
  <si>
    <t>Use the link provided to access the learning offer. Review the offering in its entirety to complete.</t>
  </si>
  <si>
    <t>course</t>
  </si>
  <si>
    <t>https://ihg.sharepoint.com/sites/ResponsibleBusiness/SitePages/Human-Rights-Brand-Standards-Guidance.aspx</t>
  </si>
  <si>
    <t>Property Management System (PMS)</t>
  </si>
  <si>
    <t>Review maunufactor operating manual relevant department training in the PMS system</t>
  </si>
  <si>
    <t>True Hospitality Service Skills</t>
  </si>
  <si>
    <t>Welcome to IHG</t>
  </si>
  <si>
    <t>Property Orientation</t>
  </si>
  <si>
    <t>Complete a tour of your property with new hires.</t>
  </si>
  <si>
    <t>Link
https://ihg.sharepoint.com/sites/ResponsibleBusiness/SitePages/Human-Rights-Brand-Standards-Guidance.aspx</t>
  </si>
  <si>
    <t>InterContinental Hotels and Resorts Brand Orientation</t>
  </si>
  <si>
    <t>https://mylearning.sumtotal.host/core/pillarRedirect?relyingParty=LM&amp;url=app%2fmanagement%2fLMS_ActDetails.aspx%3fActivityId%3d10703%26UserMode%3d0</t>
  </si>
  <si>
    <t>Welcome to Kimpton! A Cultural Orientation</t>
  </si>
  <si>
    <t>This content can be delivered in a classroom setting as part of a orientation program or refresher</t>
  </si>
  <si>
    <t>Brand Introduction (led by GM or Leader)</t>
  </si>
  <si>
    <t>Discuss information from website relevant to your brand.</t>
  </si>
  <si>
    <t>https://www.ihgplc.com/en/our-brands</t>
  </si>
  <si>
    <t>Art of Breakfast</t>
  </si>
  <si>
    <t>https://ihgfbamericas.com/wp-content/uploads/2016/09/The-Art-of-Breakfast-Service-Manager-Handbook-1.pdf</t>
  </si>
  <si>
    <t>Art of Room</t>
  </si>
  <si>
    <t>https://ihgfbamericas.com/wp-content/uploads/2016/09/Art-of-Room-Service-Training-Manual.pdf</t>
  </si>
  <si>
    <t>Hotel Indigo Inspire New Stories Brand Experience Training</t>
  </si>
  <si>
    <t>Hotel Indigo Inspire New Stories Brand Orientation</t>
  </si>
  <si>
    <t>https://mylearning.sumtotal.host/core/pillarRedirect?relyingParty=LM&amp;url=app%2fmanagement%2fLMS_ActDetails.aspx%3fActivityId%3d14870%26UserMode%3d0</t>
  </si>
  <si>
    <t>voco Hotels Brand Experience Training</t>
  </si>
  <si>
    <t>https://mylearning.sumtotal.host/core/pillarRedirect?relyingParty=LM&amp;url=app%2fmanagement%2fLMS_ActDetails.aspx%3fActivityId%3d16585%26UserMode%3d0</t>
  </si>
  <si>
    <t>voco hotels Brand Orientation Training</t>
  </si>
  <si>
    <t>https://mylearning.sumtotal.host/core/pillarRedirect?relyingParty=LM&amp;url=app%2fmanagement%2fLMS_ActDetails.aspx%3fActivityId%3d3735%26UserMode%3d0</t>
  </si>
  <si>
    <t>Crowne Plaza Ignite Menu Programme Video - Recipes</t>
  </si>
  <si>
    <t>Crowne Plaza Ignite Menu Programme Video - Service</t>
  </si>
  <si>
    <t>Crowne Plaza Meeting Essentials</t>
  </si>
  <si>
    <t>https://core-ihg.bravais.com/s/JyQdZmm70U6o8n6ZeWjP</t>
  </si>
  <si>
    <t>Crowne Plaza Brand Orientation</t>
  </si>
  <si>
    <t>https://mylearning.sumtotal.host/core/pillarRedirect?relyingParty=LM&amp;url=app%2fmanagement%2fLMS_ActDetails.aspx%3fActivityId%3d10699%26UserMode%3d0</t>
  </si>
  <si>
    <t>Crowne Plaza Brand Experience Training</t>
  </si>
  <si>
    <t>https://mylearning.sumtotal.host/core/pillarRedirect?relyingParty=LM&amp;url=app%2fmanagement%2fLMS_ActDetails.aspx%3fActivityId%3d10769%26UserMode%3d0</t>
  </si>
  <si>
    <t>EVEN Brand Hallmarks</t>
  </si>
  <si>
    <t>Use the link provided to access the learning offer. Download any required job aids to support the learning</t>
  </si>
  <si>
    <t>https://me2.ihgmerlin.com/web/init-even-hotels-hotel-in-a-box/home</t>
  </si>
  <si>
    <t>Fitness Equipment training</t>
  </si>
  <si>
    <t xml:space="preserve"> Peloton Bike - https://ihgolm.my.salesforce.com/sfc/p/#j0000000KUiS/a/5b000000JrFs/d0iIg1kpRmAdH7X6Ov_FZxzM5gwfTCAgfmF416jsxPg</t>
  </si>
  <si>
    <t>Food &amp; Beverage training</t>
  </si>
  <si>
    <t>https://ihgfbglobal.com/regional-home-amer/amer-even-hotels/amer-ev-guides-tools-learning/</t>
  </si>
  <si>
    <t>Even Hotels Brand Service Training</t>
  </si>
  <si>
    <t>https://mylearning.sumtotal.host/core/pillarRedirect?relyingParty=LM&amp;url=app%2fmanagement%2fLMS_ActDetails.aspx%3fActivityId%3d237982%26UserMode%3d0</t>
  </si>
  <si>
    <t>Buffet training Program</t>
  </si>
  <si>
    <t>https://ihgfbamericas.com/brands/holiday-inn-hotels-resorts/breakfast-buffet-hub/training-implementation/</t>
  </si>
  <si>
    <t>https://mylearning.sumtotal.host/core/pillarRedirect?relyingParty=LM&amp;url=app%2fmanagement%2fLMS_ActDetails.aspx%3fActivityId%3d104579%26UserMode%3d0</t>
  </si>
  <si>
    <t>Express Start Breakfast Bar Experience</t>
  </si>
  <si>
    <t>https://mylearning.sumtotal.host/Core/pillarRedirect?relyingParty=LM&amp;url=core%2Factivitydetails%2FViewActivityDetails%3FActivityId%3D10712%26UserMode%3D0</t>
  </si>
  <si>
    <t>https://mylearning.sumtotal.host/core/pillarRedirect?relyingParty=LM&amp;url=app%2fmanagement%2fLMS_ActDetails.aspx%3fActivityId%3d366737%26UserMode%3d0</t>
  </si>
  <si>
    <t>Service Optimization Quore for avid Hotels</t>
  </si>
  <si>
    <t>https://mylearning.sumtotal.host/core/pillarRedirect?relyingParty=LM&amp;url=app%2fmanagement%2fLMS_ActDetails.aspx%3fActivityId%3d746%26UserMode%3d0</t>
  </si>
  <si>
    <t>https://mylearning.sumtotal.host/core/pillarRedirect?relyingParty=LM&amp;url=app%2fmanagement%2fLMS_ActDetails.aspx%3fActivityId%3d301706%26UserMode%3d0</t>
  </si>
  <si>
    <t>avid hotels 'just right' Brand Experience Training</t>
  </si>
  <si>
    <t>https://mylearning.sumtotal.host/core/pillarRedirect?relyingParty=LM&amp;url=app%2fmanagement%2fLMS_ActDetails.aspx%3fActivityId%3d27%26UserMode%3d0</t>
  </si>
  <si>
    <t>avid hotels 'Just right' Brand Orientation Training</t>
  </si>
  <si>
    <t>https://mylearning.sumtotal.host/core/pillarRedirect?relyingParty=LM&amp;url=app%2fmanagement%2fLMS_ActDetails.aspx%3fActivityId%3d438%26UserMode%3d0</t>
  </si>
  <si>
    <t>https://mylearning.sumtotal.host/core/pillarRedirect?relyingParty=LM&amp;url=app%2fmanagement%2fLMS_ActDetails.aspx%3fActivityId%3d3555%26UserMode%3d0</t>
  </si>
  <si>
    <t>Garner Brand Service Training</t>
  </si>
  <si>
    <t>https://mylearning.sumtotal.host/core/pillarRedirect?relyingParty=LM&amp;url=app%2fmanagement%2fLMS_ActDetails.aspx%3fActivityId%3d394772%26UserMode%3d0</t>
  </si>
  <si>
    <t>Atwell Suites Brand Service Training</t>
  </si>
  <si>
    <t>https://mylearning.sumtotal.host/core/pillarRedirect?relyingParty=LM&amp;url=app%2fmanagement%2fLMS_ActDetails.aspx%3fActivityId%3d166549%26UserMode%3d0</t>
  </si>
  <si>
    <t>https://mylearning.sumtotal.host/core/pillarRedirect?relyingParty=LM&amp;url=app%2fmanagement%2fLMS_ActDetails.aspx%3fActivityId%3d10766%26UserMode%3d0</t>
  </si>
  <si>
    <t>https://mylearning.sumtotal.host/core/pillarRedirect?relyingParty=LM&amp;url=app%2fmanagement%2fLMS_ActDetails.aspx%3fActivityId%3d300170%26UserMode%3d0</t>
  </si>
  <si>
    <t>Staybridge Suites Brand Experience Training</t>
  </si>
  <si>
    <t>https://mylearning.sumtotal.host/core/pillarRedirect?relyingParty=LM&amp;url=app%2fmanagement%2fLMS_ActDetails.aspx%3fActivityId%3d10779%26UserMode%3d0</t>
  </si>
  <si>
    <t>Staybridge Suites Brand Orientation</t>
  </si>
  <si>
    <t>https://mylearning.sumtotal.host/core/pillarRedirect?relyingParty=LM&amp;url=app%2fmanagement%2fLMS_ActDetails.aspx%3fActivityId%3d10778%26UserMode%3d0</t>
  </si>
  <si>
    <t>Candlewood Suites Brand Experience Training</t>
  </si>
  <si>
    <t>https://mylearning.sumtotal.host/core/pillarRedirect?relyingParty=LM&amp;url=app%2fmanagement%2fLMS_ActDetails.aspx%3fActivityId%3d10781%26UserMode%3d0</t>
  </si>
  <si>
    <t>Candlewood Suites Brand Orientation</t>
  </si>
  <si>
    <t>https://mylearning.sumtotal.host/core/pillarRedirect?relyingParty=LM&amp;url=app%2fmanagement%2fLMS_ActDetails.aspx%3fActivityId%3d10780%26UserMode%3d0</t>
  </si>
  <si>
    <t>Online Course IDs</t>
  </si>
  <si>
    <t>OJT Course IDs</t>
  </si>
  <si>
    <t>Course Name</t>
  </si>
  <si>
    <t>Delivery Type</t>
  </si>
  <si>
    <t>AMER &amp; EMEAA Links to any resources</t>
  </si>
  <si>
    <t>Info</t>
  </si>
  <si>
    <t>Delivery Guidance</t>
  </si>
  <si>
    <t>Audience</t>
  </si>
  <si>
    <t>Audience Comments</t>
  </si>
  <si>
    <t xml:space="preserve">Brands </t>
  </si>
  <si>
    <t>Global</t>
  </si>
  <si>
    <t>AMER/EMEAA</t>
  </si>
  <si>
    <t>AMER</t>
  </si>
  <si>
    <t>GC</t>
  </si>
  <si>
    <t>EMEAA</t>
  </si>
  <si>
    <t>OJT only</t>
  </si>
  <si>
    <t>Resource</t>
  </si>
  <si>
    <t>N/A</t>
  </si>
  <si>
    <t>n/a</t>
  </si>
  <si>
    <t>no link</t>
  </si>
  <si>
    <t>IC/KI/RG/IN/SB/HI/HIRT</t>
  </si>
  <si>
    <t>Online</t>
  </si>
  <si>
    <t>CRWN</t>
  </si>
  <si>
    <t xml:space="preserve">  </t>
  </si>
  <si>
    <t xml:space="preserve"> </t>
  </si>
  <si>
    <t>IHG057307-EN (N AMER) 
IHG057307-ES (LATIN AMER)</t>
  </si>
  <si>
    <t xml:space="preserve">course </t>
  </si>
  <si>
    <t>US &amp; Canada</t>
  </si>
  <si>
    <t>IHG0057306</t>
  </si>
  <si>
    <t>IHG0048244</t>
  </si>
  <si>
    <t>IHG057363</t>
  </si>
  <si>
    <t>All</t>
  </si>
  <si>
    <t>IHG0061303</t>
  </si>
  <si>
    <t>HIEX</t>
  </si>
  <si>
    <t>IHG052206</t>
  </si>
  <si>
    <t>EVEN Hotels</t>
  </si>
  <si>
    <t>AMER &amp; EMEAA</t>
  </si>
  <si>
    <t>all</t>
  </si>
  <si>
    <t>IHG0047626</t>
  </si>
  <si>
    <t>IHG0047626-ZH</t>
  </si>
  <si>
    <t>All - except HICV</t>
  </si>
  <si>
    <t>Holiday Inn</t>
  </si>
  <si>
    <t>IHG052303</t>
  </si>
  <si>
    <t> IHG052304</t>
  </si>
  <si>
    <t> IHG051964</t>
  </si>
  <si>
    <t>ALL</t>
  </si>
  <si>
    <t>IHG0049491</t>
  </si>
  <si>
    <t>IHG0054667</t>
  </si>
  <si>
    <t>IHG7376524</t>
  </si>
  <si>
    <t>IHG7376524 - OJT</t>
  </si>
  <si>
    <t>IHG1227263</t>
  </si>
  <si>
    <t>IHG052185</t>
  </si>
  <si>
    <t>IHG0047625</t>
  </si>
  <si>
    <t>IHG0047625-ZH</t>
  </si>
  <si>
    <t> IHG0056403</t>
  </si>
  <si>
    <t> IHG0056403-ZH</t>
  </si>
  <si>
    <t>Course</t>
  </si>
  <si>
    <t>ICON; ICRT; KIMP; REGT; VIGN</t>
  </si>
  <si>
    <t>IHG0063363</t>
  </si>
  <si>
    <t>IHG0063363-ZH</t>
  </si>
  <si>
    <t>IHG0063363-OJT</t>
  </si>
  <si>
    <t>IHG0063363-ZH-OJT</t>
  </si>
  <si>
    <t>IHG0057043-v2024</t>
  </si>
  <si>
    <t xml:space="preserve">IHG0057043 </t>
  </si>
  <si>
    <t>IHG0057043-v2024 -OJT</t>
  </si>
  <si>
    <t>IHG0057043-ZH-OJT</t>
  </si>
  <si>
    <t>IHG0057043-OJT</t>
  </si>
  <si>
    <t>IHG056045</t>
  </si>
  <si>
    <t>IHG056045-ZH</t>
  </si>
  <si>
    <t>IHG056045-OJT</t>
  </si>
  <si>
    <t>IHG056045-ZH -OJT</t>
  </si>
  <si>
    <t>Avid</t>
  </si>
  <si>
    <t>IHG0058563</t>
  </si>
  <si>
    <t>STBS</t>
  </si>
  <si>
    <t>IHG057244</t>
  </si>
  <si>
    <t>IHG4839915</t>
  </si>
  <si>
    <t>IHG051263</t>
  </si>
  <si>
    <t>IHG051263-ZH</t>
  </si>
  <si>
    <t>IHG051263-OJT</t>
  </si>
  <si>
    <t>IHG051263-ZH-OJT</t>
  </si>
  <si>
    <t>IHG058044</t>
  </si>
  <si>
    <t>IHG058044-ZH</t>
  </si>
  <si>
    <t>IHG058044-OJT</t>
  </si>
  <si>
    <t>IHG058044-ZH-OJT</t>
  </si>
  <si>
    <t>IHG4548388</t>
  </si>
  <si>
    <t>IHG4548388-ZH</t>
  </si>
  <si>
    <r>
      <t> </t>
    </r>
    <r>
      <rPr>
        <sz val="11"/>
        <color rgb="FF333333"/>
        <rFont val="Calibri"/>
        <family val="2"/>
        <scheme val="minor"/>
      </rPr>
      <t>IHG4548388</t>
    </r>
    <r>
      <rPr>
        <b/>
        <sz val="11"/>
        <color rgb="FF333333"/>
        <rFont val="Calibri"/>
        <family val="2"/>
        <scheme val="minor"/>
      </rPr>
      <t>-OJT</t>
    </r>
  </si>
  <si>
    <t>IHG4548388-ZH-OJT</t>
  </si>
  <si>
    <t>Holiday Inn Express Brand Operations Training</t>
  </si>
  <si>
    <t>Use the link provided to access the learning offer. Download the course materials and review the offering in its entirety to complete. </t>
  </si>
  <si>
    <t>IHG0063063-ZH</t>
  </si>
  <si>
    <t>HI</t>
  </si>
  <si>
    <t>IHG3075650</t>
  </si>
  <si>
    <t xml:space="preserve"> IHG3075650-ZH</t>
  </si>
  <si>
    <t>IHG3075650-OJT</t>
  </si>
  <si>
    <t xml:space="preserve"> IHG3075650-ZH-OJT</t>
  </si>
  <si>
    <t>Holiday Inn Brand Operations Training</t>
  </si>
  <si>
    <t>IHG059203-ZH</t>
  </si>
  <si>
    <t>AVID</t>
  </si>
  <si>
    <t>IHG1645990</t>
  </si>
  <si>
    <t>IHG1645990-OJT</t>
  </si>
  <si>
    <t>IHG0065503</t>
  </si>
  <si>
    <t>Candlewood</t>
  </si>
  <si>
    <t>IHG058786</t>
  </si>
  <si>
    <t>IHG058784</t>
  </si>
  <si>
    <t>Atwell</t>
  </si>
  <si>
    <t>IHG1667137</t>
  </si>
  <si>
    <t>Garner</t>
  </si>
  <si>
    <t>IHG2096323</t>
  </si>
  <si>
    <t xml:space="preserve">Even  </t>
  </si>
  <si>
    <t>IHG7942569</t>
  </si>
  <si>
    <t>IHG7942569-ZH</t>
  </si>
  <si>
    <t>CP</t>
  </si>
  <si>
    <t>IHG051234</t>
  </si>
  <si>
    <t>IHG051234-ZH</t>
  </si>
  <si>
    <t>IHG057984</t>
  </si>
  <si>
    <t>IHG062884-ZH</t>
  </si>
  <si>
    <t>IHG058303</t>
  </si>
  <si>
    <t>Crowne Plaza Dare to Connect Brand Operation Training</t>
  </si>
  <si>
    <t>IHG062783-ZH</t>
  </si>
  <si>
    <t>IHG0066043</t>
  </si>
  <si>
    <t>IHG0065384</t>
  </si>
  <si>
    <t>IND</t>
  </si>
  <si>
    <t>IHG0064463</t>
  </si>
  <si>
    <t>IHG0064463-ZH</t>
  </si>
  <si>
    <t>Kimp</t>
  </si>
  <si>
    <t>IHG0061384</t>
  </si>
  <si>
    <t>https://mylearning.sumtotal.host/core/pillarRedirect?relyingParty=LM&amp;url=app%2fmanagement%2fLMS_ActDetails.aspx%3fActivityId%3d14835%26UserMode%3d0</t>
  </si>
  <si>
    <t>IHG0064483</t>
  </si>
  <si>
    <t>IHG0064483-ZH</t>
  </si>
  <si>
    <t>IC</t>
  </si>
  <si>
    <t>IHG051925</t>
  </si>
  <si>
    <t>IHG051925-ZH</t>
  </si>
  <si>
    <t>IHG0065403</t>
  </si>
  <si>
    <t>IHG0065583</t>
  </si>
  <si>
    <t>CW</t>
  </si>
  <si>
    <t>IHG058785</t>
  </si>
  <si>
    <t>SB</t>
  </si>
  <si>
    <t>IHG058783</t>
  </si>
  <si>
    <t>Regent Brand Orientation</t>
  </si>
  <si>
    <t>Regent Brand Experience Training</t>
  </si>
  <si>
    <t>Vignette Collection Brand Orientation</t>
  </si>
  <si>
    <t>Vignette Collection</t>
  </si>
  <si>
    <t>IDs</t>
  </si>
  <si>
    <t>OJT IDs</t>
  </si>
  <si>
    <t>Course Description (english)</t>
  </si>
  <si>
    <t>Review the Art of Breakfast Training Manual</t>
  </si>
  <si>
    <t>IHG1353819-OJT</t>
  </si>
  <si>
    <t>Review the Art of Room Service Training Manual</t>
  </si>
  <si>
    <t>IHG9959789-OJT</t>
  </si>
  <si>
    <t>Copy from online course</t>
  </si>
  <si>
    <t>IHG1667137-OJT</t>
  </si>
  <si>
    <t>IHG0065503-OJT</t>
  </si>
  <si>
    <t>IHG0065403-OJT</t>
  </si>
  <si>
    <t>IHG0065583-OJT</t>
  </si>
  <si>
    <t>Discussion and review of IHG and brands by a hotel leader</t>
  </si>
  <si>
    <t>IHG7178824-OJT</t>
  </si>
  <si>
    <t>Review opening/closing / mainitaining dining space/problem resolution and steps of service videos</t>
  </si>
  <si>
    <t>IHG1057704-OJT</t>
  </si>
  <si>
    <t>Training for colleagues on operation of any business services offered to guests (examples: printing, guest accessible computers)</t>
  </si>
  <si>
    <t>IHG6321776-OJT</t>
  </si>
  <si>
    <t>IHG058786-OJT</t>
  </si>
  <si>
    <t>IHG058785-OJT</t>
  </si>
  <si>
    <t>IHG057984-OJT</t>
  </si>
  <si>
    <t>IHG062884-ZH-OJT</t>
  </si>
  <si>
    <t>IHG058303-OJT</t>
  </si>
  <si>
    <t>IHG051234-OJT</t>
  </si>
  <si>
    <t>IHG051234-ZH-OJT</t>
  </si>
  <si>
    <t>IHG062783-ZH-OJT</t>
  </si>
  <si>
    <t>IHG057307-EN-OJT
IHG057307-ES-OJT</t>
  </si>
  <si>
    <t>IHG0057306-OJT</t>
  </si>
  <si>
    <t>IHG0048244-OJT</t>
  </si>
  <si>
    <t>IHG057363-OJT</t>
  </si>
  <si>
    <t>IHG0061303-OJT</t>
  </si>
  <si>
    <t>Review hallmarks are understood.</t>
  </si>
  <si>
    <t>IHG2702277-OJT</t>
  </si>
  <si>
    <t>IHG7942569-OJT</t>
  </si>
  <si>
    <t>IHG7942569-ZH-OJT</t>
  </si>
  <si>
    <t>IHG052206-OJT</t>
  </si>
  <si>
    <t>Basic first aid training for hotels</t>
  </si>
  <si>
    <t>IHG1885862-OJT</t>
  </si>
  <si>
    <t>Review of instructions to operate all fitness equipment</t>
  </si>
  <si>
    <t>IHG6974268-OJT</t>
  </si>
  <si>
    <t>Select the relevant area )Breakfast / Dinner / Bar) review all documents.</t>
  </si>
  <si>
    <t>IHG4631229-OJT</t>
  </si>
  <si>
    <t>IHG2096323-OJT</t>
  </si>
  <si>
    <t>IHG0047626-OJT</t>
  </si>
  <si>
    <t>IHG0047626-ZH-OJT</t>
  </si>
  <si>
    <t>Equips colleagues with all required Health &amp; Safety, Security and Emergency Procedures</t>
  </si>
  <si>
    <t>IHG9191264-OJT</t>
  </si>
  <si>
    <t>IHG059203-ZH-OJT</t>
  </si>
  <si>
    <t>IHG052303-OJT</t>
  </si>
  <si>
    <t>IHG052304-OJT</t>
  </si>
  <si>
    <t>IHG0063063-ZH-OJT</t>
  </si>
  <si>
    <t> IHG4548388-OJT</t>
  </si>
  <si>
    <t>Holiday Inn Start Fresh Breakfast Program</t>
  </si>
  <si>
    <t>IHG051964-OJT</t>
  </si>
  <si>
    <t>IHG0064483-OJT</t>
  </si>
  <si>
    <t>IHG0064483-ZH-OJT</t>
  </si>
  <si>
    <t>Safety Device Training</t>
  </si>
  <si>
    <t>IHG8611503-OJT</t>
  </si>
  <si>
    <t>IHG0049491-OJT</t>
  </si>
  <si>
    <t>IHG0054667-OJT</t>
  </si>
  <si>
    <t>IHG1227263-OJT</t>
  </si>
  <si>
    <t>IHG052185-OJT</t>
  </si>
  <si>
    <t>IHG051925-OJT</t>
  </si>
  <si>
    <t>IHG051925-ZH-OJT</t>
  </si>
  <si>
    <t>IHG0047625-OJT</t>
  </si>
  <si>
    <t>IHG0047625-ZH-OJT</t>
  </si>
  <si>
    <t>IHG0056403-OJT</t>
  </si>
  <si>
    <t>IHG0056403-ZH-OJT</t>
  </si>
  <si>
    <t>Training for all colleagues  how to operate the hotel's Property Management System.</t>
  </si>
  <si>
    <t>IHG5969164-OJT</t>
  </si>
  <si>
    <t>Physical tour of hotel, heart of house and front of house for all new team member.</t>
  </si>
  <si>
    <t>IHG8342629-OJT</t>
  </si>
  <si>
    <t>IHG0058563-OJT</t>
  </si>
  <si>
    <t>IHG058784-OJT</t>
  </si>
  <si>
    <t>IHG058783-OJT</t>
  </si>
  <si>
    <t>IHG057244-OJT</t>
  </si>
  <si>
    <t>IHG4839915-OJT</t>
  </si>
  <si>
    <t>IHG0066043-OJT</t>
  </si>
  <si>
    <t>IHG0065384-OJT</t>
  </si>
  <si>
    <t>IHG0061384-OJT</t>
  </si>
  <si>
    <t>The Brand Orientation workshop is one of our TRAIN People Tools, designed to convey key messages related to the Regent hotel brand.</t>
  </si>
  <si>
    <t>IHG2170824-ZH-OJT</t>
  </si>
  <si>
    <t>Regent Brand Experience Training will guide you in the application of what you learned in Brand Orientation.</t>
  </si>
  <si>
    <t>IHG2466648-ZH-OJT</t>
  </si>
  <si>
    <t>The Brand Orientation workshop is one of our TRAIN People Tools, aimed at conveying key messages related to the Vignette Collection hotel brand.</t>
  </si>
  <si>
    <t>IHG1995111-ZH-OJT</t>
  </si>
  <si>
    <t>Vignette Collection Brand Experience Training</t>
  </si>
  <si>
    <t>Crowne Plaza Ignite Menu Programme Video - Recipes - Latin America</t>
  </si>
  <si>
    <t>IHG057307-EN-OJT</t>
  </si>
  <si>
    <t>IHG057307-ES-OJT</t>
  </si>
  <si>
    <t>Activity Type</t>
  </si>
  <si>
    <t>Modality</t>
  </si>
  <si>
    <t>Business Owner &amp; Department:</t>
  </si>
  <si>
    <t>Activity Code</t>
  </si>
  <si>
    <t>Estimated Duration In Hours</t>
  </si>
  <si>
    <t>Activity Full Description</t>
  </si>
  <si>
    <t>Course Link</t>
  </si>
  <si>
    <t>OJT Course</t>
  </si>
  <si>
    <t>Core</t>
  </si>
  <si>
    <t>Frankie Bates Information Security</t>
  </si>
  <si>
    <t>OJT  Essential training for everyone who uses a computer system at your hotel The training module provides you with practical advice on the things you can do to protect the personal information of our Guests and Employees. Your hotel collects and stores personal information from Guests and Employees in order to function. Protecting this information is everyone's responsibility. This training is applicable to all hotel employees who either handle personal information, or who use a computer system at your hotel. It should be used as part of the employee induction process and as a yearly refresher and supports your PCI DSS compliance efforts.</t>
  </si>
  <si>
    <t>https://mylearning.sumtotal.host/core/pillarRedirect?relyingParty=LM&amp;url=app%2Fmanagement%2FLMS_ActDetails.aspx%3FActivityId%3D596770%26UserMode%3D0</t>
  </si>
  <si>
    <t>OJT</t>
  </si>
  <si>
    <t>https://mylearning.sumtotal.host/core/pillarRedirect?relyingParty=LM&amp;url=app%2Fmanagement%2FLMS_ActDetails.aspx%3FActivityId%3D596771%26UserMode%3D0</t>
  </si>
  <si>
    <t>Crowne Plaza Meeting Essentials eLearning</t>
  </si>
  <si>
    <t>Melissa McFarland GXSS</t>
  </si>
  <si>
    <t>https://mylearning.sumtotal.host/core/pillarRedirect?relyingParty=LM&amp;url=app%2Fmanagement%2FLMS_ActDetails.aspx%3FActivityId%3D595003%26UserMode%3D0</t>
  </si>
  <si>
    <t>Getting to Know IHG Concerto</t>
  </si>
  <si>
    <t>Kay Sawyer Global Business Readiness &amp; Training</t>
  </si>
  <si>
    <t>https://mylearning.sumtotal.host/core/pillarRedirect?relyingParty=LM&amp;url=app%2Fmanagement%2FLMS_ActDetails.aspx%3FActivityId%3D595027%26UserMode%3D0</t>
  </si>
  <si>
    <t>OJT  This course is designed to provide you with all of the training materials to familiarize yourself with IHG Voice and the many benefits it can provide to your hotel and your guests.</t>
  </si>
  <si>
    <t>https://mylearning.sumtotal.host/core/pillarRedirect?relyingParty=LM&amp;url=app%2Fmanagement%2FLMS_ActDetails.aspx%3FActivityId%3D595030%26UserMode%3D0</t>
  </si>
  <si>
    <t>Leading and Sustaining your Service Culture</t>
  </si>
  <si>
    <t>OJT  As a leader in an IHG hotel, it is important for you to have the knowledge and tools needed to lead and sustain the service culture for your brand. This course will help you understand IHG's approach to service culture and the key skills effective leaders use to enable great guest experiences. Whether you are new to your role or a seasoned professional, this training provides practical advice, valuable information, and access to tools to bring the brand to life at your hotel.</t>
  </si>
  <si>
    <t>https://mylearning.sumtotal.host/core/pillarRedirect?relyingParty=LM&amp;url=app%2Fmanagement%2FLMS_ActDetails.aspx%3FActivityId%3D596772%26UserMode%3D0</t>
  </si>
  <si>
    <t>https://mylearning.sumtotal.host/core/pillarRedirect?relyingParty=LM&amp;url=app%2Fmanagement%2FLMS_ActDetails.aspx%3FActivityId%3D596773%26UserMode%3D0</t>
  </si>
  <si>
    <t>Preventing Human Trafficking</t>
  </si>
  <si>
    <t>OJT  This session is a broad overview of the human/sex trafficking, rights of children, and department-specific examples of how to identify signs of trafficking (front desk, bars, housekeeping), including how to report suspected trafficking to law enforcement and refer victims to national support services.</t>
  </si>
  <si>
    <t>https://mylearning.sumtotal.host/core/pillarRedirect?relyingParty=LM&amp;url=app%2Fmanagement%2FLMS_ActDetails.aspx%3FActivityId%3D468092%26UserMode%3D0</t>
  </si>
  <si>
    <t>IHG0057043-v2024-OJT</t>
  </si>
  <si>
    <t>https://mylearning.sumtotal.host/core/pillarRedirect?relyingParty=LM&amp;url=app%2Fmanagement%2FLMS_ActDetails.aspx%3FActivityId%3D468091%26UserMode%3D0</t>
  </si>
  <si>
    <t>https://mylearning.sumtotal.host/core/pillarRedirect?relyingParty=LM&amp;url=app%2Fmanagement%2FLMS_ActDetails.aspx%3FActivityId%3D468093%26UserMode%3D0</t>
  </si>
  <si>
    <t>Crowne Plaza IGNITE Menu Program Videos - Service</t>
  </si>
  <si>
    <t>OJT&amp;nbsp;&amp;nbsp;&amp;nbsp;The Crowne Plaza IGNITE Menu program curriculum explores the key ingredients and service sparks of successful restaurant execution.  It's designed to elevate the experience for our Modern Business Traveler and enhance the skills and execution of kitchen, restaurant, and bar colleagues.  Let’s get fired up to deliver better experiences! This training covers Crowne Plaza IGNITE Service Training. When you've completed this, be sure to look for the Crowne Plaza IGNITE Recipes training.</t>
  </si>
  <si>
    <t>https://mylearning.sumtotal.host/core/pillarRedirect?relyingParty=LM&amp;url=app%2Fmanagement%2FLMS_ActDetails.aspx%3FActivityId%3D595002%26UserMode%3D0</t>
  </si>
  <si>
    <t>Service Optimization Quore for avid hotels</t>
  </si>
  <si>
    <t>OJT  Quore is a required tool used to streamline operations and deliver the avid™ hotels Guarantee . From tracking daily tasks, to simplifying cleaning and management of rooms, Quore provides a user-friendly platform to make your life easier no matter your role. With the ability to collaborate between departments, it also provides greater communication and visibility to ensure your guests have the best stay possible. This microlearning course is designed to provide informative video and article content for avid hotel colleagues on the most important apps used in your day to day role. Each section is broken down in easy to access sections for just in time learning.</t>
  </si>
  <si>
    <t>https://mylearning.sumtotal.host/core/pillarRedirect?relyingParty=LM&amp;url=app%2Fmanagement%2FLMS_ActDetails.aspx%3FActivityId%3D596774%26UserMode%3D0</t>
  </si>
  <si>
    <t>Digital Check-In</t>
  </si>
  <si>
    <t>Kay Sawyer, Global Business Readiness &amp; Training</t>
  </si>
  <si>
    <t>https://mylearning.sumtotal.host/core/pillarRedirect?relyingParty=LM&amp;url=app%2Fmanagement%2FLMS_ActDetails.aspx%3FActivityId%3D595005%26UserMode%3D0</t>
  </si>
  <si>
    <t>Jennifer Seymour, Kimpton Hotels People &amp; Culture</t>
  </si>
  <si>
    <t>https://mylearning.sumtotal.host/core/pillarRedirect?relyingParty=LM&amp;url=app%2Fmanagement%2FLMS_ActDetails.aspx%3FActivityId%3D596787%26UserMode%3D0</t>
  </si>
  <si>
    <t>OJT&amp;nbsp;&amp;nbsp;&amp;nbsp;This course is for General Managers, Department Heads, other key leaders, Front of House colleagues and Heart of House colleagues at the hotel. Luxury Fundamentals is specifically designed as an introductory learning that helps demonstrate luxury service at IHG. It will equip colleagues with the knowledge, expertise, and confidence needed to meet the evolving expectations of guests. The course will cover 3 chapters: Chapter 1: What is Luxury? Chapter 2: Today's Luxury Consumer, and Chapter 3: Luxury Service Behaviours. There are three (3) different learning pathways: Hotel Leaders includes Chapter 1, 2, and 3. Front of House (FOH) includes Chapter 1, 2, and 3. Heart of House (HOH) includes Chapter 3.</t>
  </si>
  <si>
    <t>https://mylearning.sumtotal.host/core/pillarRedirect?relyingParty=LM&amp;url=app%2Fmanagement%2FLMS_ActDetails.aspx%3FActivityId%3D468098%26UserMode%3D0</t>
  </si>
  <si>
    <t>https://mylearning.sumtotal.host/core/pillarRedirect?relyingParty=LM&amp;url=app%2Fmanagement%2FLMS_ActDetails.aspx%3FActivityId%3D468099%26UserMode%3D0</t>
  </si>
  <si>
    <t>Lindsay Goldman Brands</t>
  </si>
  <si>
    <t>OJT  Brand Orientation is the start of your exciting journey to become a Hotel Indigo Neighborhood Host. Everything you do at Hotel Indigo is driven by a deep connection with your neighborhood. You will learn to welcome guests into your neighborhood, how you can inspire them to explore and discover different perspectives and help them to create new stories of their own.</t>
  </si>
  <si>
    <t>https://mylearning.sumtotal.host/core/pillarRedirect?relyingParty=LM&amp;url=app%2Fmanagement%2FLMS_ActDetails.aspx%3FActivityId%3D595025%26UserMode%3D0</t>
  </si>
  <si>
    <t>Sian Quesnell voco &amp; Vignette collection Brand Management</t>
  </si>
  <si>
    <t>OJT  Welcome to Brand Orientation - the start of your voco hotels learning journey. In this interactive training you'll discover all about the voco brand, how our brand promise - reliably different - comes to life in our hotels, and what our guests expect and value during their stay. You'll learn that in voco hotels, everyone's a host – and we'll introduce you to our three service behaviours, which guide you on how to 'host' our guests from the moment they arrive, to the moment they leave.</t>
  </si>
  <si>
    <t>https://mylearning.sumtotal.host/core/pillarRedirect?relyingParty=LM&amp;url=app%2Fmanagement%2FLMS_ActDetails.aspx%3FActivityId%3D596786%26UserMode%3D0</t>
  </si>
  <si>
    <t>Hayley Jackson Brands</t>
  </si>
  <si>
    <t>OJT  At avid hotels, the essentials are done exceptionally well, and consistently, at a fair price. This Brand Orientation training is for all existing and new team members and will provide learners with information about the avid hotels brand, our guests - Principled Everyday Travelers, our brand promise - Where the 'rest' is easy, and our service style - We make every stay 'Just right'.</t>
  </si>
  <si>
    <t>https://mylearning.sumtotal.host/core/pillarRedirect?relyingParty=LM&amp;url=app%2Fmanagement%2FLMS_ActDetails.aspx%3FActivityId%3D593205%26UserMode%3D0</t>
  </si>
  <si>
    <t>avid hotels 'Just right' Brand Experience Training</t>
  </si>
  <si>
    <t>OJT  At avid hotels, we make every stay 'Just right'. Our people are key to bringing our brand promise, where the 'rest' is easy, to life through the way we deliver service. This course equips existing and new team members with the knowledge, skills, and tools necessary to deliver the desired guest experience for avid hotels with a focus on our 'Just right' service style.</t>
  </si>
  <si>
    <t>https://mylearning.sumtotal.host/core/pillarRedirect?relyingParty=LM&amp;url=app%2Fmanagement%2FLMS_ActDetails.aspx%3FActivityId%3D593204%26UserMode%3D0</t>
  </si>
  <si>
    <t>avid hotels Just Right Brand Standards Guidance Training</t>
  </si>
  <si>
    <t>OJT&amp;nbsp;&amp;nbsp;&amp;nbsp;You have already completed the avid hotels ‘Just right’ Brand Orientation and ‘Just right’ Brand Experience Training courses. Now, this Brand Standards Guidance Training course will show you how to integrate avid hotels service behaviors into your everyday work. By implementing these specific service actions, you can consistently and enthusiastically deliver the brand promise and brand standards to your guests.</t>
  </si>
  <si>
    <t>https://mylearning.sumtotal.host/core/pillarRedirect?relyingParty=LM&amp;url=app%2Fmanagement%2FLMS_ActDetails.aspx%3FActivityId%3D593206%26UserMode%3D0</t>
  </si>
  <si>
    <t>voco hotels Brand Experience training</t>
  </si>
  <si>
    <t>Stephanie Ochoa, Global Learning</t>
  </si>
  <si>
    <t>OJT  In this voco™ hotels Brand Experience training, you'll get to explore the valuable role you play in bringing our service style and service behaviours to life for guests, every time they stay with us.  Through our voco extras and hosted moments, you'll learn how we add thoughtful touches and acts of kindness, creating unique and memorable moments which guests will love.  At the end of the training, you'll discover how your voco learning journey will continue, with job-specific practice and activities to help you become a great voco host.</t>
  </si>
  <si>
    <t>https://mylearning.sumtotal.host/core/pillarRedirect?relyingParty=LM&amp;url=app%2Fmanagement%2FLMS_ActDetails.aspx%3FActivityId%3D596785%26UserMode%3D0</t>
  </si>
  <si>
    <t>OJT  The Crowne Plaza brand is changing – challenging the status quo and standing out from the competition. And it all begins with you, our hotel colleagues, and how we work together to deliver an experience that focuses on the professional and personal needs of today’s modern business traveler. And how we’re making business travel work for them, and us. The Crowne Plaza Brand Orientation is a video based learning program that will immerse existing and new colleagues in the Crowne Plaza brand and explain the important role they play in bringing the brand to life through the experiences they create and the way they dare to connect with our guests and each other each and everyday. Individual colleagues can complete the training on their own in approximately 30 minutes. Colleagues will watch four short films (in order) and each film is approximately 3 – 4 minutes long and explores the following topics: • Film 1. Our Brand: Crowne Plaza® Hotels &amp; Resorts • Film 2. Our Guests: Modern Busines</t>
  </si>
  <si>
    <t>https://mylearning.sumtotal.host/core/pillarRedirect?relyingParty=LM&amp;url=app%2Fmanagement%2FLMS_ActDetails.aspx%3FActivityId%3D593215%26UserMode%3D0</t>
  </si>
  <si>
    <t>https://mylearning.sumtotal.host/core/pillarRedirect?relyingParty=LM&amp;url=app%2Fmanagement%2FLMS_ActDetails.aspx%3FActivityId%3D593216%26UserMode%3D0</t>
  </si>
  <si>
    <t>OJT  The IHG True Hospitality Service Skills course explores essential skills to help you understand and deliver IHG True Hospitality. Learn what True Hospitality means and learn practices to help turn a guest’s ordinary stay into an amazing stay!</t>
  </si>
  <si>
    <t>https://mylearning.sumtotal.host/core/pillarRedirect?relyingParty=LM&amp;url=app%2Fmanagement%2FLMS_ActDetails.aspx%3FActivityId%3D468089%26UserMode%3D0</t>
  </si>
  <si>
    <t>https://mylearning.sumtotal.host/core/pillarRedirect?relyingParty=LM&amp;url=app%2Fmanagement%2FLMS_ActDetails.aspx%3FActivityId%3D468090%26UserMode%3D0</t>
  </si>
  <si>
    <t>OJT  Learners will gain understanding of the brand, it’s history, promise and their role in delivery of the brand.  The course looks at characteristics of target guests and the connection between the brand promise and satisfying guest expectations.</t>
  </si>
  <si>
    <t>https://mylearning.sumtotal.host/core/pillarRedirect?relyingParty=LM&amp;url=app%2Fmanagement%2FLMS_ActDetails.aspx%3FActivityId%3D595031%26UserMode%3D0</t>
  </si>
  <si>
    <t>https://mylearning.sumtotal.host/core/pillarRedirect?relyingParty=LM&amp;url=app%2Fmanagement%2FLMS_ActDetails.aspx%3FActivityId%3D595032%26UserMode%3D0</t>
  </si>
  <si>
    <t>OJT  This course equips colleagues with essential tools and skills to deliver world class breakfast service. Colleagues will gain insight on various gourmet recipe ingredients, methods, and presentation concepts. Colleagues will know how to create and present a desirable breakfast experience consistently and professionally.</t>
  </si>
  <si>
    <t>https://mylearning.sumtotal.host/core/pillarRedirect?relyingParty=LM&amp;url=app%2Fmanagement%2FLMS_ActDetails.aspx%3FActivityId%3D595018%26UserMode%3D0</t>
  </si>
  <si>
    <t>IHG World Class Beverage Academy - 101 Essentials</t>
  </si>
  <si>
    <t>OJT  This IHG World Class Beverage Academy: 101 Essentials course will refresh  bar/bartender skills to IHG standards. It equips colleagues with essentials for successfully delivering consistent beverage service and covers important knowledge areas from appearance, table setting, bar setup, bar basics, glassware, non-alcoholic beverages, techniques, and guest experience. Upon completion, bartenders/servers will understand the essentials of beverage service.</t>
  </si>
  <si>
    <t>https://mylearning.sumtotal.host/core/pillarRedirect?relyingParty=LM&amp;url=app%2Fmanagement%2FLMS_ActDetails.aspx%3FActivityId%3D595029%26UserMode%3D0</t>
  </si>
  <si>
    <t>The Express Start Breakfast Bar Experience - US &amp; Canada</t>
  </si>
  <si>
    <t>OJT  This course provides learners with an overview of the Express Start Breakfast Bar Experience including what it is and how colleagues can best deliver it to guests.</t>
  </si>
  <si>
    <t>https://mylearning.sumtotal.host/core/pillarRedirect?relyingParty=LM&amp;url=app%2Fmanagement%2FLMS_ActDetails.aspx%3FActivityId%3D595007%26UserMode%3D0</t>
  </si>
  <si>
    <t>Holiday Inn C.A.S.H - Core Menu</t>
  </si>
  <si>
    <t>OJT  This course works in conjunction with Holiday Inn C.A.S.H. – Sequence of Service and takes menus one step further including delicious recipes from salads to desserts and everything in between.  It ensures that Food and Beverage colleagues understand Holiday Inn meal preparation.</t>
  </si>
  <si>
    <t>https://mylearning.sumtotal.host/core/pillarRedirect?relyingParty=LM&amp;url=app%2Fmanagement%2FLMS_ActDetails.aspx%3FActivityId%3D595015%26UserMode%3D0</t>
  </si>
  <si>
    <t>Holiday Inn C.A.S.H - Sequence of Service</t>
  </si>
  <si>
    <t>OJT  Holiday Inn C.A.S.H. provides colleagues with the principles of Consistency, Ambiance, and Service at Holiday Inn.  This course prepares learners to deliver the best service and meals possible for guests.  The Sequence of Service course takes colleagues from preparation to the dining experience for a comprehensive understanding of evening service.</t>
  </si>
  <si>
    <t>https://mylearning.sumtotal.host/core/pillarRedirect?relyingParty=LM&amp;url=app%2Fmanagement%2FLMS_ActDetails.aspx%3FActivityId%3D595016%26UserMode%3D0</t>
  </si>
  <si>
    <t>IHG Problem Handling V2</t>
  </si>
  <si>
    <t>https://mylearning.sumtotal.host/core/pillarRedirect?relyingParty=LM&amp;url=app%2Fmanagement%2FLMS_ActDetails.aspx%3FActivityId%3D468095%26UserMode%3D0</t>
  </si>
  <si>
    <t>IHG056045-ZH-OJT</t>
  </si>
  <si>
    <t>https://mylearning.sumtotal.host/core/pillarRedirect?relyingParty=LM&amp;url=app%2Fmanagement%2FLMS_ActDetails.aspx%3FActivityId%3D468096%26UserMode%3D0</t>
  </si>
  <si>
    <t>Staybridge Suites Breakfast Training Program</t>
  </si>
  <si>
    <t>OJT  Breakfast is the most important meal of the day and welcomes our guests – inspiring and recharging them for their next big meeting or next adventure – allowing them to Break from the Travel norm.  This 30-minute curriculum will provide training to deliver signature muffins, a consistently great breakfast and exceptional guest experience.  Divided into 4 modules and a total of 14 videos, you will learn about the tools, recipes, RATIONAL oven and ways to create a sense of belonging and the ability to thrive guests want.</t>
  </si>
  <si>
    <t>https://mylearning.sumtotal.host/core/pillarRedirect?relyingParty=LM&amp;url=app%2Fmanagement%2FLMS_ActDetails.aspx%3FActivityId%3D596782%26UserMode%3D0</t>
  </si>
  <si>
    <t>Crowne Plaza IGNITE Menu Program Videos - Recipes (North America)</t>
  </si>
  <si>
    <t>https://mylearning.sumtotal.host/core/pillarRedirect?relyingParty=LM&amp;url=app%2Fmanagement%2FLMS_ActDetails.aspx%3FActivityId%3D595000%26UserMode%3D0</t>
  </si>
  <si>
    <t>Crowne Plaza IGNITE Menu Program Videos - Recipes (Latin America)</t>
  </si>
  <si>
    <t>https://mylearning.sumtotal.host/core/pillarRedirect?relyingParty=LM&amp;url=app%2Fmanagement%2FLMS_ActDetails.aspx%3FActivityId%3D595001%26UserMode%3D0</t>
  </si>
  <si>
    <t>Crowne Plaza Power Up Mornings Breakfast Program</t>
  </si>
  <si>
    <t>OJT  This course equips colleagues with essential tools and skills to deliver world class breakfast service to modern business travelers. Colleagues gain insight on service concepts that will benefit the guest, and be more profitable for the hotel. The course consists of 5 subjects and 13 lessons on how to create and present a desirable breakfast experience consistently and professionally, upholding the Crowne Plaza brand promise.</t>
  </si>
  <si>
    <t>https://mylearning.sumtotal.host/core/pillarRedirect?relyingParty=LM&amp;url=app%2Fmanagement%2FLMS_ActDetails.aspx%3FActivityId%3D595004%26UserMode%3D0</t>
  </si>
  <si>
    <t>Crowne Plaza Dare to Connect Brand Experience Training - AMER</t>
  </si>
  <si>
    <t>OJT  Welcome to a different approach to service. Crowne Plaza is reinventing itself and embracing its status as a challenger brand. That means disrupting long-held assumptions about our target guest, the Modern Business Traveler, and disrupting expectations of the role our hotel colleagues play in delivering a great service experience. Our brand promise is “Making Business Travel Work by Bringing Humanity to Business Travel,” and our people are key to bringing this promise to life for our guests through service. This course equips colleagues with the knowledge, skills, and tools necessary to deliver the desired guest experience for Crowne Plaza, especially our Dare to Connect service style.</t>
  </si>
  <si>
    <t>https://mylearning.sumtotal.host/core/pillarRedirect?relyingParty=LM&amp;url=app%2Fmanagement%2FLMS_ActDetails.aspx%3FActivityId%3D593209%26UserMode%3D0</t>
  </si>
  <si>
    <t>OJT  Learn about IHG and the world-famous names that make up who we are. In this course you’ll discover the heritage and values that underpin IHG, the big differences and little details that make each of our brands unique, and – most importantly – what sets us apart from our competitors. We’re all about people, with an IHG hotel for every guest. The values that underpin each of our brands come from our heritage, which goes back over two centuries.</t>
  </si>
  <si>
    <t>https://mylearning.sumtotal.host/core/pillarRedirect?relyingParty=LM&amp;url=app%2Fmanagement%2FLMS_ActDetails.aspx%3FActivityId%3D466521%26UserMode%3D0</t>
  </si>
  <si>
    <t>Crowne Plaza Dare to Connect Brand Experience Training - Europe</t>
  </si>
  <si>
    <t>https://mylearning.sumtotal.host/core/pillarRedirect?relyingParty=LM&amp;url=app%2Fmanagement%2FLMS_ActDetails.aspx%3FActivityId%3D593214%26UserMode%3D0</t>
  </si>
  <si>
    <t>OJT  At Staybridge Suites, we’re at the heart of a movement. We exist to help guests conquer the rat race and live the life they believe in, even while on the road. This Brand Orientation training is for all existing and new team members and will provide learners with information about our target guest, The Experienced Traveler; our brand promise, Break From the Travel Norm; and our service style, Create Community.</t>
  </si>
  <si>
    <t>https://mylearning.sumtotal.host/core/pillarRedirect?relyingParty=LM&amp;url=app%2Fmanagement%2FLMS_ActDetails.aspx%3FActivityId%3D596776%26UserMode%3D0</t>
  </si>
  <si>
    <t>OJT  At Staybridge Suites, we believe our guests deserve more, and it’s always been our mission to provide our guests with a different, distinct experience. Our people are key to bringing our brand promise, Break From the Travel Norm to life through the way we deliver service. This course equips existing and new team members with the knowledge, skills, and tools necessary to deliver the desired guest experience for Staybridge Suites with a focus on our Create Community service style.</t>
  </si>
  <si>
    <t>https://mylearning.sumtotal.host/core/pillarRedirect?relyingParty=LM&amp;url=app%2Fmanagement%2FLMS_ActDetails.aspx%3FActivityId%3D596775%26UserMode%3D0</t>
  </si>
  <si>
    <t>OJT  Candlewood Suites is dedicated to helping guests find a sense of normalcy through a down-to-earth hotel experience when traveling for extended periods. This Brand Orientation training is for all existing and new team members and will provide learners with information about our target guest, The Self-Sufficient Traveler; our brand promise, Your Space to Settle In; and our service style, We’ve Got Your Back.</t>
  </si>
  <si>
    <t>https://mylearning.sumtotal.host/core/pillarRedirect?relyingParty=LM&amp;url=app%2Fmanagement%2FLMS_ActDetails.aspx%3FActivityId%3D593208%26UserMode%3D0</t>
  </si>
  <si>
    <t>OJT  At Candlewood Suites, we believe every guest should be able to find a sense of normalcy when traveling for extended periods. Our people are key to bringing our brand promise, Your Space to Settle In, to life through the way we deliver service. This course equips existing and new team members with the knowledge, skills, and tools necessary to deliver the desired guest experience for Candlewood Suites with a focus on our We’ve Got Your Back service style.</t>
  </si>
  <si>
    <t>https://mylearning.sumtotal.host/core/pillarRedirect?relyingParty=LM&amp;url=app%2Fmanagement%2FLMS_ActDetails.aspx%3FActivityId%3D593207%26UserMode%3D0</t>
  </si>
  <si>
    <t>Holiday Inn Brand Operations Training GC</t>
  </si>
  <si>
    <t>OJT  You have already completed the Holiday Inn Orientation and 'Making Guests Smile' Brand Experience Training courses. Now, this Brand Operations Training course will show you how to integrate Holiday Inn Service Actions into your everyday work. By implementing these specific service actions, you can consistently and enthusiastically deliver the Brand Promise.This video-based learning tool shows how to deliver the Holiday Inn brand experience in day-to-day operations.After this training ,you will integrate Holiday Inn service behavior and the Holiday Inn "Smile" into every aspect of your work and  be familiar with your role and perform it with passion.</t>
  </si>
  <si>
    <t>https://mylearning.sumtotal.host/core/pillarRedirect?relyingParty=LM&amp;url=app%2Fmanagement%2FLMS_ActDetails.aspx%3FActivityId%3D595014%26UserMode%3D0</t>
  </si>
  <si>
    <t>Crowne Plaza Dare to Connect Brand Operation Training (GC)</t>
  </si>
  <si>
    <t>https://mylearning.sumtotal.host/core/pillarRedirect?relyingParty=LM&amp;url=app%2Fmanagement%2FLMS_ActDetails.aspx%3FActivityId%3D593217%26UserMode%3D0</t>
  </si>
  <si>
    <t>Crowne Plaza Dare to Connect Brand Experience Training (GC)</t>
  </si>
  <si>
    <t>https://mylearning.sumtotal.host/core/pillarRedirect?relyingParty=LM&amp;url=app%2Fmanagement%2FLMS_ActDetails.aspx%3FActivityId%3D593211%26UserMode%3D0</t>
  </si>
  <si>
    <t xml:space="preserve">OJT  Review opening/closing / mainitaining dining space/problem resolution and steps of service videos </t>
  </si>
  <si>
    <t>https://mylearning.sumtotal.host/core/pillarRedirect?relyingParty=LM&amp;url=app%2Fmanagement%2FLMS_ActDetails.aspx%3FActivityId%3D601637%26UserMode%3D0</t>
  </si>
  <si>
    <t>Rebecca Indarte – VP Multi Brand Solutions (MBS)</t>
  </si>
  <si>
    <t>OJT  Enhance your hotel’s cleanliness and guest experience with the IHG Way of Clean. No matter your role, we all have a part to play in helping create a culture of clean at every IHG hotel. This condensed course highlights key elements from the 5-S cleaning program to keep the health and safety of colleagues and guests everyone’s top priority.</t>
  </si>
  <si>
    <t>https://mylearning.sumtotal.host/core/pillarRedirect?relyingParty=LM&amp;url=app%2Fmanagement%2FLMS_ActDetails.aspx%3FActivityId%3D595028%26UserMode%3D0</t>
  </si>
  <si>
    <t xml:space="preserve">OJT  Review the Art of Breakfast Training Manual </t>
  </si>
  <si>
    <t>https://mylearning.sumtotal.host/core/pillarRedirect?relyingParty=LM&amp;url=app%2Fmanagement%2FLMS_ActDetails.aspx%3FActivityId%3D601508%26UserMode%3D0</t>
  </si>
  <si>
    <t>Avid hotels and Candlewood Suites Dual - Brand Service Training</t>
  </si>
  <si>
    <t>Courtney Kent</t>
  </si>
  <si>
    <t xml:space="preserve">OJT  "This service training is designed to equip all team members with knowledge on the brand, guests, and service behaviors to deliver the avid hotels® and Candlewood Suites® Dual-Brand guest experience.  </t>
  </si>
  <si>
    <t>https://mylearning.sumtotal.host/core/pillarRedirect?relyingParty=LM&amp;url=app%2Fmanagement%2FLMS_ActDetails.aspx%3FActivityId%3D472810%26UserMode%3D0</t>
  </si>
  <si>
    <t>Courtney Kent, Atwell Suites Lead</t>
  </si>
  <si>
    <t>OJT  This service training is designed to equip all team members, new and existing, with knowledge on the brand, guests, and service behaviors to deliver the Atwell Suites guest experience.  This training will also provide the tools necessary to deliver on the Atwell Suites Brand Promise:  "Enable enriching experiences that accelerate personal growth for guests</t>
  </si>
  <si>
    <t>https://mylearning.sumtotal.host/core/pillarRedirect?relyingParty=LM&amp;url=app%2Fmanagement%2FLMS_ActDetails.aspx%3FActivityId%3D593195%26UserMode%3D0</t>
  </si>
  <si>
    <t xml:space="preserve">OJT  Basic first aid training for hotels </t>
  </si>
  <si>
    <t>https://mylearning.sumtotal.host/core/pillarRedirect?relyingParty=LM&amp;url=app%2Fmanagement%2FLMS_ActDetails.aspx%3FActivityId%3D601671%26UserMode%3D0</t>
  </si>
  <si>
    <t xml:space="preserve">OJT  The Brand Orientation workshop is one of our TRAIN People Tools, aimed at conveying key messages related to the Vignette Collection hotel brand. </t>
  </si>
  <si>
    <t>https://mylearning.sumtotal.host/core/pillarRedirect?relyingParty=LM&amp;url=app%2Fmanagement%2FLMS_ActDetails.aspx%3FActivityId%3D603057%26UserMode%3D0</t>
  </si>
  <si>
    <t>Michael Gayton</t>
  </si>
  <si>
    <t xml:space="preserve">OJT  The secret to the Garner brand’s success is you! This interactive eLearning is personalized to you and introduces you to the Garner brand and its valued guests. </t>
  </si>
  <si>
    <t>https://mylearning.sumtotal.host/core/pillarRedirect?relyingParty=LM&amp;url=app%2Fmanagement%2FLMS_ActDetails.aspx%3FActivityId%3D595008%26UserMode%3D0</t>
  </si>
  <si>
    <t xml:space="preserve">OJT  The Brand Orientation workshop is one of our TRAIN People Tools, designed to convey key messages related to the Regent hotel brand. </t>
  </si>
  <si>
    <t>https://mylearning.sumtotal.host/core/pillarRedirect?relyingParty=LM&amp;url=app%2Fmanagement%2FLMS_ActDetails.aspx%3FActivityId%3D603036%26UserMode%3D0</t>
  </si>
  <si>
    <t xml:space="preserve">OJT  Regent Brand Experience Training will guide you in the application of what you learned in Brand Orientation. </t>
  </si>
  <si>
    <t>https://mylearning.sumtotal.host/core/pillarRedirect?relyingParty=LM&amp;url=app%2Fmanagement%2FLMS_ActDetails.aspx%3FActivityId%3D603047%26UserMode%3D0</t>
  </si>
  <si>
    <t xml:space="preserve">OJT  Review hallmarks are understood. </t>
  </si>
  <si>
    <t>https://mylearning.sumtotal.host/core/pillarRedirect?relyingParty=LM&amp;url=app%2Fmanagement%2FLMS_ActDetails.aspx%3FActivityId%3D601660%26UserMode%3D0</t>
  </si>
  <si>
    <t>Holiday Inn Brand Service Training</t>
  </si>
  <si>
    <t>OJT  This service training is designed to equip all team members with knowledge on the brand, guests, and Brand Promise. The training will also demonstrate the ideal brand service experience for Holiday Inn and will provide team members with the tools necessary to deliver the “Making Guests Smile” Service Style.</t>
  </si>
  <si>
    <t>https://mylearning.sumtotal.host/core/pillarRedirect?relyingParty=LM&amp;url=app%2Fmanagement%2FLMS_ActDetails.aspx%3FActivityId%3D472806%26UserMode%3D0</t>
  </si>
  <si>
    <t>IHG3075650-ZH-OJT</t>
  </si>
  <si>
    <t>https://mylearning.sumtotal.host/core/pillarRedirect?relyingParty=LM&amp;url=app%2Fmanagement%2FLMS_ActDetails.aspx%3FActivityId%3D472807%26UserMode%3D0</t>
  </si>
  <si>
    <t>Holiday Inn Express Brand Service Training</t>
  </si>
  <si>
    <t>OJT  You play a critical role in delivering a branded guest experience at Holiday Inn Express Hotels. This interactive learning will equip you to bring the Mission Made Easy service style to life.&amp;nbsp;&amp;nbsp;&amp;nbsp;</t>
  </si>
  <si>
    <t>https://mylearning.sumtotal.host/core/pillarRedirect?relyingParty=LM&amp;url=app%2Fmanagement%2FLMS_ActDetails.aspx%3FActivityId%3D471268%26UserMode%3D0</t>
  </si>
  <si>
    <t>https://mylearning.sumtotal.host/core/pillarRedirect?relyingParty=LM&amp;url=app%2Fmanagement%2FLMS_ActDetails.aspx%3FActivityId%3D471269%26UserMode%3D0</t>
  </si>
  <si>
    <t xml:space="preserve">OJT  Select the relevant area (Breakfast / Dinner / Bar) review all documents. </t>
  </si>
  <si>
    <t>https://mylearning.sumtotal.host/core/pillarRedirect?relyingParty=LM&amp;url=app%2Fmanagement%2FLMS_ActDetails.aspx%3FActivityId%3D601702%26UserMode%3D0</t>
  </si>
  <si>
    <t>Staybridge Suites The Social Training Program</t>
  </si>
  <si>
    <t>Colleen Pinto</t>
  </si>
  <si>
    <t>OJT  At Staybridge Suites®, we help guests conquer the rat race and live the life they believe in, even while on the road. This includes the ability to relax and unwind at our evening Social Monday thru Wednesday. This curriculum provides training for all staff interacting with The Social to ensure a consistent and exceptional guest experience. Throughout the modules, you will learn what The Social is, how to seamlessly execute the food and beverage served, the important role staff members play and how to Create Community for your guests at The Social.</t>
  </si>
  <si>
    <t>https://mylearning.sumtotal.host/core/pillarRedirect?relyingParty=LM&amp;url=app%2Fmanagement%2FLMS_ActDetails.aspx%3FActivityId%3D596783%26UserMode%3D0</t>
  </si>
  <si>
    <t xml:space="preserve">OJT  Training for all colleagues  how to operate the hotel's Property Management System. </t>
  </si>
  <si>
    <t>https://mylearning.sumtotal.host/core/pillarRedirect?relyingParty=LM&amp;url=app%2Fmanagement%2FLMS_ActDetails.aspx%3FActivityId%3D602920%26UserMode%3D0</t>
  </si>
  <si>
    <t xml:space="preserve">OJT  Training for colleagues on operation of any business services offered to guests (examples: printing, guest accessible computers) </t>
  </si>
  <si>
    <t>https://mylearning.sumtotal.host/core/pillarRedirect?relyingParty=LM&amp;url=app%2Fmanagement%2FLMS_ActDetails.aspx%3FActivityId%3D601648%26UserMode%3D0</t>
  </si>
  <si>
    <t xml:space="preserve">OJT  Review of instructions to operate all fitness equipment </t>
  </si>
  <si>
    <t>https://mylearning.sumtotal.host/core/pillarRedirect?relyingParty=LM&amp;url=app%2Fmanagement%2FLMS_ActDetails.aspx%3FActivityId%3D601691%26UserMode%3D0</t>
  </si>
  <si>
    <t xml:space="preserve">OJT  Discussion and review of IHG and brands by a hotel leader </t>
  </si>
  <si>
    <t>https://mylearning.sumtotal.host/core/pillarRedirect?relyingParty=LM&amp;url=app%2Fmanagement%2FLMS_ActDetails.aspx%3FActivityId%3D601511%26UserMode%3D0</t>
  </si>
  <si>
    <t>IHG Way of Clean 5-S Cleaning Program</t>
  </si>
  <si>
    <t>IHG7376524-OJT</t>
  </si>
  <si>
    <t>OJT  Enhance your hotel’s cleanliness and guest experience the IHG way, with the IHG Way of Clean 5-S Cleaning Program.  This course guides room attendants with a systematic approach to hotel cleanliness including how to Survey, Service, Shine, Stage, and Self-Inspect areas to be cleaned.</t>
  </si>
  <si>
    <t>https://mylearning.sumtotal.host/core/pillarRedirect?relyingParty=LM&amp;url=app%2Fmanagement%2FLMS_ActDetails.aspx%3FActivityId%3D468097%26UserMode%3D0</t>
  </si>
  <si>
    <t>EVEN Hotels Brand Service Training</t>
  </si>
  <si>
    <t xml:space="preserve">OJT  You play a critical role in delivering a branded guest experience for EVEN Hotels.  This interactive learning will be personalized to you, and it will equip you to bring to life the Wellness Their Way service style in your role.  </t>
  </si>
  <si>
    <t>https://mylearning.sumtotal.host/core/pillarRedirect?relyingParty=LM&amp;url=app%2Fmanagement%2FLMS_ActDetails.aspx%3FActivityId%3D472808%26UserMode%3D0</t>
  </si>
  <si>
    <t>https://mylearning.sumtotal.host/core/pillarRedirect?relyingParty=LM&amp;url=app%2Fmanagement%2FLMS_ActDetails.aspx%3FActivityId%3D472809%26UserMode%3D0</t>
  </si>
  <si>
    <t xml:space="preserve">OJT  Physical tour of hotel, heart of house and front of house for all new team member. </t>
  </si>
  <si>
    <t>https://mylearning.sumtotal.host/core/pillarRedirect?relyingParty=LM&amp;url=app%2Fmanagement%2FLMS_ActDetails.aspx%3FActivityId%3D603028%26UserMode%3D0</t>
  </si>
  <si>
    <t xml:space="preserve">OJT  Safety Device Training </t>
  </si>
  <si>
    <t>https://mylearning.sumtotal.host/core/pillarRedirect?relyingParty=LM&amp;url=app%2Fmanagement%2FLMS_ActDetails.aspx%3FActivityId%3D601740%26UserMode%3D0</t>
  </si>
  <si>
    <t xml:space="preserve">OJT  Equips colleagues with all required Health &amp; Safety, Security and Emergency Procedures </t>
  </si>
  <si>
    <t>https://mylearning.sumtotal.host/core/pillarRedirect?relyingParty=LM&amp;url=app%2Fmanagement%2FLMS_ActDetails.aspx%3FActivityId%3D601724%26UserMode%3D0</t>
  </si>
  <si>
    <t xml:space="preserve">OJT  Review the Art of Room Service Training Manual </t>
  </si>
  <si>
    <t>https://mylearning.sumtotal.host/core/pillarRedirect?relyingParty=LM&amp;url=app%2Fmanagement%2FLMS_ActDetails.aspx%3FActivityId%3D601510%26UserMode%3D0</t>
  </si>
  <si>
    <t>OJT  Getting to Know IHG Concerto is our technology offering that revolutionizes the way your hotel satisfies guests, builds loyalty, and increases revenue. Learn more about the key features of Getting to Know IHG Concerto: an interactive dashboard intuitive, easy-to-use features seamless navigation between functions at-a-glance insights and mini-concierge information You and your colleagues have different responsibilities at the hotel, so based on your role, you will have access to the key functions and information tailored to your responsibilities. To learn more about Reservations or Rate &amp; Inventory Management, register for ‘GRS Fundamentals’ in myLearning. To learn more about Yielding &amp; Price Optimization, register for ‘RMS Fundamentals’ in myLearning.</t>
  </si>
  <si>
    <t>OJT  Digital Check-In powered by Getting to Know IHG Concerto combines enhancements to the IHG app with updated front desk processes using Getting to Know IHG Concerto™ to enable a more streamlined experience that limits contact at the front desk. All employees who complete pre-arrival work or check-in guests should complete this training. Once opened, this training is organized into several small sections. You may choose to complete them all at one time or come and go as your schedule allows. We expect you'll finish in 20-30 minutes but feel free to take as much time as you need.</t>
  </si>
  <si>
    <t>Digital Check-in</t>
  </si>
  <si>
    <t>OJT  The goal of this course is to provide the learner with the skills that connect all IHG® brands globally and enable them to deliver the service Guests expect each time they visit. The learner will learn to be positive, confident and attentive, and how to respond correctly to problems and complaints in order to deliver True Hospitality to Guests. The skills that make up IHG® IHG Problem Handling V2 will help colleagues provide great service and show Guests that they care.</t>
  </si>
  <si>
    <t>IHG IHG Problem Handling V2</t>
  </si>
  <si>
    <t>Crowne Plaza Power up Mornings Breakfast Program</t>
  </si>
  <si>
    <t>avid hotels and Candlewood Suites Dual - Brand Service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</si>
</sst>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0"/>
      <name val="Calibri"/>
      <family val="2"/>
      <scheme val="minor"/>
    </font>
    <font>
      <sz val="11"/>
      <color rgb="FFFBF8EB"/>
      <name val="Calibri"/>
      <family val="2"/>
      <scheme val="minor"/>
    </font>
    <font>
      <sz val="12"/>
      <color rgb="FF9C5700"/>
      <name val="Calibri"/>
      <family val="2"/>
      <scheme val="minor"/>
    </font>
    <font>
      <sz val="14"/>
      <color rgb="FF9C5700"/>
      <name val="Arial"/>
      <family val="2"/>
    </font>
    <font>
      <sz val="14"/>
      <color theme="1"/>
      <name val="Arial"/>
      <family val="2"/>
    </font>
    <font>
      <u/>
      <sz val="11"/>
      <color theme="10"/>
      <name val="Calibri"/>
      <family val="2"/>
      <scheme val="minor"/>
    </font>
    <font>
      <sz val="14"/>
      <color rgb="FF00B050"/>
      <name val="Arial"/>
      <family val="2"/>
    </font>
    <font>
      <b/>
      <sz val="11"/>
      <color theme="1"/>
      <name val="Calibri"/>
      <family val="2"/>
      <scheme val="minor"/>
    </font>
    <font>
      <sz val="11"/>
      <color rgb="FF333333"/>
      <name val="Arial"/>
      <family val="2"/>
    </font>
    <font>
      <sz val="11"/>
      <color rgb="FF333333"/>
      <name val="Calibri"/>
      <family val="2"/>
      <scheme val="minor"/>
    </font>
    <font>
      <b/>
      <sz val="11"/>
      <color rgb="FF333333"/>
      <name val="Calibri"/>
      <family val="2"/>
      <scheme val="minor"/>
    </font>
    <font>
      <sz val="9"/>
      <color rgb="FF333333"/>
      <name val="Arial"/>
      <family val="2"/>
    </font>
    <font>
      <sz val="12"/>
      <name val="Calibri"/>
      <family val="2"/>
    </font>
    <font>
      <sz val="12"/>
      <color rgb="FF000000"/>
      <name val="Calibri"/>
      <family val="2"/>
    </font>
    <font>
      <sz val="72"/>
      <color rgb="FF0070C0"/>
      <name val="Calibri"/>
      <family val="2"/>
      <scheme val="minor"/>
    </font>
    <font>
      <sz val="11"/>
      <color rgb="FF232323"/>
      <name val="Calibri"/>
      <family val="2"/>
      <scheme val="minor"/>
    </font>
    <font>
      <sz val="11"/>
      <color rgb="FF000000"/>
      <name val="Calibri"/>
      <family val="2"/>
      <scheme val="minor"/>
    </font>
    <font>
      <sz val="11"/>
      <color rgb="FFFF0000"/>
      <name val="Calibri"/>
      <family val="2"/>
      <scheme val="minor"/>
    </font>
    <font>
      <sz val="11"/>
      <color rgb="FFFF0000"/>
      <name val="Arial"/>
      <family val="2"/>
    </font>
    <font>
      <sz val="9"/>
      <color rgb="FFFF0000"/>
      <name val="Arial"/>
      <family val="2"/>
    </font>
    <font>
      <sz val="10"/>
      <name val="Arial"/>
    </font>
    <font>
      <b/>
      <sz val="10"/>
      <color indexed="10"/>
      <name val="DejaVu Sans"/>
    </font>
    <font>
      <sz val="10"/>
      <color indexed="63"/>
      <name val="DejaVu Sans"/>
    </font>
    <font>
      <sz val="11"/>
      <name val="Calibri"/>
      <family val="2"/>
      <scheme val="minor"/>
    </font>
    <font>
      <sz val="10"/>
      <color indexed="63"/>
      <name val="DejaVu Sans"/>
      <family val="2"/>
    </font>
  </fonts>
  <fills count="15">
    <fill>
      <patternFill patternType="none"/>
    </fill>
    <fill>
      <patternFill patternType="gray125"/>
    </fill>
    <fill>
      <patternFill patternType="solid">
        <fgColor rgb="FFFFEB9C"/>
      </patternFill>
    </fill>
    <fill>
      <patternFill patternType="solid">
        <fgColor theme="4"/>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indexed="11"/>
        <bgColor indexed="64"/>
      </patternFill>
    </fill>
    <fill>
      <patternFill patternType="solid">
        <fgColor indexed="9"/>
        <bgColor indexed="64"/>
      </patternFill>
    </fill>
    <fill>
      <patternFill patternType="solid">
        <fgColor indexed="14"/>
        <bgColor indexed="64"/>
      </patternFill>
    </fill>
  </fills>
  <borders count="2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hair">
        <color indexed="64"/>
      </top>
      <bottom style="hair">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21" fillId="0" borderId="0"/>
  </cellStyleXfs>
  <cellXfs count="155">
    <xf numFmtId="0" fontId="0" fillId="0" borderId="0" xfId="0"/>
    <xf numFmtId="0" fontId="2" fillId="0" borderId="0" xfId="0" applyFont="1"/>
    <xf numFmtId="0" fontId="1" fillId="0" borderId="0" xfId="0" applyFont="1"/>
    <xf numFmtId="0" fontId="3" fillId="2" borderId="1" xfId="1" applyBorder="1" applyAlignment="1">
      <alignment horizontal="center" vertical="center"/>
    </xf>
    <xf numFmtId="0" fontId="2" fillId="0" borderId="2" xfId="0" applyFont="1" applyBorder="1"/>
    <xf numFmtId="0" fontId="4" fillId="2" borderId="3" xfId="1" applyFont="1" applyBorder="1" applyAlignment="1">
      <alignment horizontal="center" vertical="center" wrapText="1"/>
    </xf>
    <xf numFmtId="0" fontId="4" fillId="2" borderId="4" xfId="1" applyFont="1" applyBorder="1" applyAlignment="1">
      <alignment horizontal="center" vertical="center" wrapText="1"/>
    </xf>
    <xf numFmtId="0" fontId="5" fillId="0" borderId="0" xfId="0" applyFont="1" applyAlignment="1">
      <alignment horizontal="center" vertical="center"/>
    </xf>
    <xf numFmtId="0" fontId="7" fillId="3" borderId="4" xfId="1" applyFont="1" applyFill="1" applyBorder="1" applyAlignment="1">
      <alignment horizontal="center" vertical="center" wrapText="1"/>
    </xf>
    <xf numFmtId="0" fontId="6" fillId="0" borderId="0" xfId="2" applyAlignment="1">
      <alignment horizontal="center" vertical="center"/>
    </xf>
    <xf numFmtId="0" fontId="0" fillId="0" borderId="11" xfId="0" applyBorder="1" applyAlignment="1">
      <alignment vertical="top" wrapText="1"/>
    </xf>
    <xf numFmtId="0" fontId="0" fillId="0" borderId="11" xfId="0" applyBorder="1" applyAlignment="1">
      <alignment vertical="top"/>
    </xf>
    <xf numFmtId="0" fontId="6" fillId="0" borderId="11" xfId="2" applyFill="1" applyBorder="1" applyAlignment="1">
      <alignment vertical="top" wrapText="1"/>
    </xf>
    <xf numFmtId="0" fontId="6" fillId="0" borderId="11" xfId="2" applyFill="1" applyBorder="1" applyAlignment="1">
      <alignment horizontal="left" vertical="top" wrapText="1"/>
    </xf>
    <xf numFmtId="0" fontId="10" fillId="0" borderId="11" xfId="0" applyFont="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8" fillId="6" borderId="11" xfId="0" applyFont="1" applyFill="1" applyBorder="1" applyAlignment="1">
      <alignment vertical="top" wrapText="1"/>
    </xf>
    <xf numFmtId="0" fontId="8" fillId="6" borderId="12" xfId="0" applyFont="1" applyFill="1" applyBorder="1" applyAlignment="1">
      <alignment vertical="top"/>
    </xf>
    <xf numFmtId="0" fontId="8" fillId="7" borderId="13" xfId="0" applyFont="1" applyFill="1" applyBorder="1" applyAlignment="1">
      <alignment vertical="top"/>
    </xf>
    <xf numFmtId="0" fontId="8" fillId="7" borderId="14" xfId="0" applyFont="1" applyFill="1" applyBorder="1" applyAlignment="1">
      <alignment vertical="top" wrapText="1"/>
    </xf>
    <xf numFmtId="0" fontId="8" fillId="7" borderId="15" xfId="0" applyFont="1" applyFill="1" applyBorder="1" applyAlignment="1">
      <alignment vertical="top"/>
    </xf>
    <xf numFmtId="0" fontId="8" fillId="8" borderId="16" xfId="0" applyFont="1" applyFill="1" applyBorder="1" applyAlignment="1">
      <alignment vertical="top"/>
    </xf>
    <xf numFmtId="0" fontId="8" fillId="8" borderId="17" xfId="0" applyFont="1" applyFill="1" applyBorder="1" applyAlignment="1">
      <alignment vertical="top"/>
    </xf>
    <xf numFmtId="0" fontId="8" fillId="8" borderId="18" xfId="0" applyFont="1" applyFill="1" applyBorder="1" applyAlignment="1">
      <alignment vertical="top"/>
    </xf>
    <xf numFmtId="0" fontId="8" fillId="5" borderId="16" xfId="0" applyFont="1" applyFill="1" applyBorder="1" applyAlignment="1">
      <alignment vertical="top"/>
    </xf>
    <xf numFmtId="0" fontId="8" fillId="5" borderId="17" xfId="0" applyFont="1" applyFill="1" applyBorder="1" applyAlignment="1">
      <alignment vertical="top"/>
    </xf>
    <xf numFmtId="0" fontId="8" fillId="5" borderId="18" xfId="0" applyFont="1" applyFill="1" applyBorder="1" applyAlignment="1">
      <alignment vertical="top"/>
    </xf>
    <xf numFmtId="0" fontId="10" fillId="0" borderId="0" xfId="0" applyFont="1" applyAlignment="1">
      <alignment vertical="top" wrapText="1"/>
    </xf>
    <xf numFmtId="0" fontId="0" fillId="0" borderId="0" xfId="0" applyAlignment="1">
      <alignment horizontal="left" vertical="top" wrapText="1"/>
    </xf>
    <xf numFmtId="0" fontId="0" fillId="0" borderId="0" xfId="0" applyAlignment="1">
      <alignment vertical="center"/>
    </xf>
    <xf numFmtId="0" fontId="8" fillId="6" borderId="11" xfId="0" applyFont="1" applyFill="1" applyBorder="1" applyAlignment="1">
      <alignment horizontal="left" vertical="top" wrapText="1"/>
    </xf>
    <xf numFmtId="0" fontId="8" fillId="4" borderId="5" xfId="0" applyFont="1" applyFill="1" applyBorder="1" applyAlignment="1">
      <alignment vertical="top"/>
    </xf>
    <xf numFmtId="0" fontId="8" fillId="4" borderId="6" xfId="0" applyFont="1" applyFill="1" applyBorder="1" applyAlignment="1">
      <alignment vertical="top"/>
    </xf>
    <xf numFmtId="0" fontId="8" fillId="4" borderId="7" xfId="0" applyFont="1" applyFill="1" applyBorder="1" applyAlignment="1">
      <alignment vertical="top"/>
    </xf>
    <xf numFmtId="0" fontId="8" fillId="5" borderId="8" xfId="0" applyFont="1" applyFill="1" applyBorder="1" applyAlignment="1">
      <alignment vertical="top"/>
    </xf>
    <xf numFmtId="0" fontId="8" fillId="5" borderId="9" xfId="0" applyFont="1" applyFill="1" applyBorder="1" applyAlignment="1">
      <alignment vertical="top"/>
    </xf>
    <xf numFmtId="0" fontId="8" fillId="5" borderId="10" xfId="0" applyFont="1" applyFill="1" applyBorder="1" applyAlignment="1">
      <alignment vertical="top"/>
    </xf>
    <xf numFmtId="0" fontId="8" fillId="0" borderId="11" xfId="0" applyFont="1" applyBorder="1" applyAlignment="1">
      <alignment vertical="top" wrapText="1"/>
    </xf>
    <xf numFmtId="0" fontId="8" fillId="0" borderId="11" xfId="0" applyFont="1" applyBorder="1" applyAlignment="1">
      <alignment wrapText="1"/>
    </xf>
    <xf numFmtId="0" fontId="8" fillId="0" borderId="11" xfId="0" applyFont="1" applyBorder="1" applyAlignment="1">
      <alignment horizontal="left" vertical="top" wrapText="1"/>
    </xf>
    <xf numFmtId="0" fontId="8" fillId="6" borderId="11" xfId="0" applyFont="1" applyFill="1" applyBorder="1" applyAlignment="1">
      <alignment vertical="top"/>
    </xf>
    <xf numFmtId="0" fontId="0" fillId="0" borderId="11" xfId="0" applyBorder="1" applyAlignment="1">
      <alignment horizontal="left" vertical="top" wrapText="1"/>
    </xf>
    <xf numFmtId="0" fontId="10" fillId="0" borderId="11" xfId="0" applyFont="1" applyBorder="1" applyAlignment="1">
      <alignment vertical="top" wrapText="1"/>
    </xf>
    <xf numFmtId="0" fontId="0" fillId="0" borderId="11" xfId="0" applyBorder="1" applyAlignment="1">
      <alignment wrapText="1"/>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center" vertical="top" wrapText="1"/>
    </xf>
    <xf numFmtId="0" fontId="15" fillId="0" borderId="20" xfId="0" applyFont="1" applyBorder="1" applyAlignment="1">
      <alignment horizontal="center" vertical="top"/>
    </xf>
    <xf numFmtId="0" fontId="6" fillId="0" borderId="0" xfId="2" applyFill="1" applyAlignment="1">
      <alignment horizontal="left" vertical="top" wrapText="1"/>
    </xf>
    <xf numFmtId="0" fontId="8" fillId="0" borderId="11" xfId="0" applyFont="1" applyBorder="1" applyAlignment="1">
      <alignment vertical="top"/>
    </xf>
    <xf numFmtId="0" fontId="10" fillId="0" borderId="0" xfId="0" applyFont="1" applyAlignment="1">
      <alignment vertical="top"/>
    </xf>
    <xf numFmtId="0" fontId="6" fillId="0" borderId="0" xfId="2" applyFill="1" applyAlignment="1">
      <alignment vertical="top" wrapText="1"/>
    </xf>
    <xf numFmtId="0" fontId="10" fillId="0" borderId="0" xfId="0" applyFont="1" applyAlignment="1">
      <alignment horizontal="left" vertical="top"/>
    </xf>
    <xf numFmtId="0" fontId="0" fillId="0" borderId="0" xfId="0" applyAlignment="1">
      <alignment horizontal="left" vertical="top"/>
    </xf>
    <xf numFmtId="0" fontId="10" fillId="0" borderId="11" xfId="0" applyFont="1" applyBorder="1" applyAlignment="1">
      <alignment vertical="top"/>
    </xf>
    <xf numFmtId="0" fontId="11" fillId="0" borderId="0" xfId="0" applyFont="1" applyAlignment="1">
      <alignment vertical="top"/>
    </xf>
    <xf numFmtId="0" fontId="8" fillId="0" borderId="0" xfId="0" applyFont="1" applyAlignment="1">
      <alignment vertical="top" wrapText="1"/>
    </xf>
    <xf numFmtId="0" fontId="8" fillId="0" borderId="0" xfId="0" applyFont="1" applyAlignment="1">
      <alignment horizontal="left" vertical="top" wrapText="1"/>
    </xf>
    <xf numFmtId="0" fontId="6" fillId="0" borderId="0" xfId="2" applyFill="1" applyBorder="1" applyAlignment="1">
      <alignment vertical="top" wrapText="1"/>
    </xf>
    <xf numFmtId="0" fontId="10" fillId="0" borderId="0" xfId="0" applyFont="1" applyAlignment="1">
      <alignment horizontal="left" vertical="top" wrapText="1"/>
    </xf>
    <xf numFmtId="0" fontId="11" fillId="0" borderId="11" xfId="0" applyFont="1" applyBorder="1" applyAlignment="1">
      <alignment vertical="top"/>
    </xf>
    <xf numFmtId="0" fontId="8" fillId="0" borderId="0" xfId="0" applyFont="1"/>
    <xf numFmtId="0" fontId="9" fillId="0" borderId="0" xfId="0" applyFont="1"/>
    <xf numFmtId="0" fontId="12" fillId="0" borderId="0" xfId="0" applyFont="1"/>
    <xf numFmtId="0" fontId="0" fillId="0" borderId="0" xfId="0" applyAlignment="1">
      <alignment vertical="center" wrapText="1"/>
    </xf>
    <xf numFmtId="0" fontId="0" fillId="0" borderId="0" xfId="0" applyAlignment="1">
      <alignment horizontal="left" vertical="center" wrapText="1"/>
    </xf>
    <xf numFmtId="0" fontId="10" fillId="0" borderId="0" xfId="0" applyFont="1" applyAlignment="1">
      <alignment vertical="center"/>
    </xf>
    <xf numFmtId="0" fontId="12" fillId="0" borderId="0" xfId="0" applyFont="1" applyAlignment="1">
      <alignment vertical="center"/>
    </xf>
    <xf numFmtId="0" fontId="6" fillId="0" borderId="0" xfId="2" applyFill="1" applyAlignment="1">
      <alignment wrapText="1"/>
    </xf>
    <xf numFmtId="0" fontId="13" fillId="0" borderId="19" xfId="0" applyFont="1" applyBorder="1" applyAlignment="1">
      <alignment horizontal="left" vertical="top" wrapText="1"/>
    </xf>
    <xf numFmtId="0" fontId="13" fillId="0" borderId="19" xfId="0" applyFont="1" applyBorder="1" applyAlignment="1">
      <alignment wrapText="1"/>
    </xf>
    <xf numFmtId="0" fontId="13" fillId="0" borderId="19" xfId="0" applyFont="1" applyBorder="1" applyAlignment="1">
      <alignment vertical="top" wrapText="1"/>
    </xf>
    <xf numFmtId="0" fontId="14" fillId="0" borderId="19" xfId="0" applyFont="1" applyBorder="1" applyAlignment="1">
      <alignment wrapText="1"/>
    </xf>
    <xf numFmtId="0" fontId="14" fillId="0" borderId="19" xfId="0" applyFont="1" applyBorder="1" applyAlignment="1">
      <alignment horizontal="left" wrapText="1"/>
    </xf>
    <xf numFmtId="0" fontId="16" fillId="0" borderId="0" xfId="0" applyFont="1"/>
    <xf numFmtId="0" fontId="17" fillId="0" borderId="11" xfId="0" applyFont="1" applyBorder="1" applyAlignment="1">
      <alignment vertical="top" wrapText="1"/>
    </xf>
    <xf numFmtId="0" fontId="17" fillId="0" borderId="11" xfId="0" applyFont="1" applyBorder="1" applyAlignment="1">
      <alignment horizontal="left" vertical="top" wrapText="1"/>
    </xf>
    <xf numFmtId="0" fontId="0" fillId="0" borderId="11" xfId="0" applyBorder="1" applyAlignment="1">
      <alignment horizontal="left" vertical="top"/>
    </xf>
    <xf numFmtId="0" fontId="17" fillId="0" borderId="11" xfId="0" applyFont="1" applyBorder="1" applyAlignment="1">
      <alignment horizontal="left" vertical="top"/>
    </xf>
    <xf numFmtId="0" fontId="17" fillId="0" borderId="11" xfId="0" applyFont="1" applyBorder="1" applyAlignment="1">
      <alignment wrapText="1"/>
    </xf>
    <xf numFmtId="0" fontId="6" fillId="0" borderId="11" xfId="2" applyBorder="1" applyAlignment="1">
      <alignment horizontal="left" vertical="top" wrapText="1"/>
    </xf>
    <xf numFmtId="0" fontId="6" fillId="0" borderId="11" xfId="2" applyBorder="1" applyAlignment="1">
      <alignment vertical="top" wrapText="1"/>
    </xf>
    <xf numFmtId="0" fontId="6" fillId="0" borderId="21" xfId="2" applyBorder="1" applyAlignment="1">
      <alignment horizontal="left" vertical="top" wrapText="1"/>
    </xf>
    <xf numFmtId="0" fontId="6" fillId="0" borderId="22" xfId="2" applyBorder="1" applyAlignment="1">
      <alignment horizontal="left" vertical="top" wrapText="1"/>
    </xf>
    <xf numFmtId="0" fontId="17" fillId="0" borderId="11" xfId="0" applyFont="1" applyBorder="1"/>
    <xf numFmtId="0" fontId="13" fillId="0" borderId="11" xfId="0" applyFont="1" applyBorder="1" applyAlignment="1">
      <alignment horizontal="left" vertical="top" wrapText="1"/>
    </xf>
    <xf numFmtId="0" fontId="6" fillId="0" borderId="11" xfId="2" applyFill="1" applyBorder="1" applyAlignment="1">
      <alignment wrapText="1"/>
    </xf>
    <xf numFmtId="0" fontId="13" fillId="0" borderId="11" xfId="0" applyFont="1" applyBorder="1" applyAlignment="1">
      <alignment wrapText="1"/>
    </xf>
    <xf numFmtId="0" fontId="13" fillId="0" borderId="11" xfId="0" applyFont="1" applyBorder="1" applyAlignment="1">
      <alignment vertical="top" wrapText="1"/>
    </xf>
    <xf numFmtId="0" fontId="14" fillId="0" borderId="11" xfId="0" applyFont="1" applyBorder="1" applyAlignment="1">
      <alignment horizontal="left" wrapText="1"/>
    </xf>
    <xf numFmtId="0" fontId="8" fillId="0" borderId="11" xfId="0" applyFont="1" applyBorder="1" applyAlignment="1">
      <alignment horizontal="left" vertical="top"/>
    </xf>
    <xf numFmtId="0" fontId="14" fillId="0" borderId="11" xfId="0" applyFont="1" applyBorder="1" applyAlignment="1">
      <alignment wrapText="1"/>
    </xf>
    <xf numFmtId="0" fontId="8" fillId="0" borderId="0" xfId="0" applyFont="1" applyAlignment="1">
      <alignment vertical="top"/>
    </xf>
    <xf numFmtId="0" fontId="8" fillId="9" borderId="11" xfId="0" applyFont="1" applyFill="1" applyBorder="1" applyAlignment="1">
      <alignment vertical="top" wrapText="1"/>
    </xf>
    <xf numFmtId="0" fontId="8" fillId="9" borderId="11" xfId="0" applyFont="1" applyFill="1" applyBorder="1" applyAlignment="1">
      <alignment vertical="top"/>
    </xf>
    <xf numFmtId="0" fontId="8" fillId="4" borderId="11" xfId="0" applyFont="1" applyFill="1" applyBorder="1" applyAlignment="1">
      <alignment vertical="top"/>
    </xf>
    <xf numFmtId="0" fontId="8" fillId="10" borderId="11" xfId="0" applyFont="1" applyFill="1" applyBorder="1" applyAlignment="1">
      <alignment vertical="top" wrapText="1"/>
    </xf>
    <xf numFmtId="0" fontId="0" fillId="9" borderId="11" xfId="0" applyFill="1" applyBorder="1" applyAlignment="1">
      <alignment vertical="top"/>
    </xf>
    <xf numFmtId="0" fontId="0" fillId="4" borderId="11" xfId="0" applyFill="1" applyBorder="1" applyAlignment="1">
      <alignment vertical="top"/>
    </xf>
    <xf numFmtId="0" fontId="0" fillId="4" borderId="0" xfId="0" applyFill="1" applyAlignment="1">
      <alignment vertical="top"/>
    </xf>
    <xf numFmtId="0" fontId="10" fillId="9" borderId="11" xfId="0" applyFont="1" applyFill="1" applyBorder="1" applyAlignment="1">
      <alignment vertical="top"/>
    </xf>
    <xf numFmtId="0" fontId="10" fillId="4" borderId="11" xfId="0" applyFont="1" applyFill="1" applyBorder="1" applyAlignment="1">
      <alignment vertical="top"/>
    </xf>
    <xf numFmtId="0" fontId="8" fillId="10" borderId="11" xfId="0" applyFont="1" applyFill="1" applyBorder="1" applyAlignment="1">
      <alignment horizontal="left" vertical="top" wrapText="1"/>
    </xf>
    <xf numFmtId="0" fontId="12" fillId="9" borderId="11" xfId="0" applyFont="1" applyFill="1" applyBorder="1"/>
    <xf numFmtId="0" fontId="9" fillId="9" borderId="11" xfId="0" applyFont="1" applyFill="1" applyBorder="1"/>
    <xf numFmtId="0" fontId="0" fillId="0" borderId="11" xfId="0" applyBorder="1" applyAlignment="1">
      <alignment vertical="center" wrapText="1"/>
    </xf>
    <xf numFmtId="0" fontId="0" fillId="0" borderId="11" xfId="0" applyBorder="1" applyAlignment="1">
      <alignment vertical="center"/>
    </xf>
    <xf numFmtId="0" fontId="0" fillId="9" borderId="11" xfId="0" applyFill="1" applyBorder="1" applyAlignment="1">
      <alignment vertical="center"/>
    </xf>
    <xf numFmtId="0" fontId="10" fillId="9" borderId="11" xfId="0" applyFont="1" applyFill="1" applyBorder="1" applyAlignment="1">
      <alignment vertical="center"/>
    </xf>
    <xf numFmtId="0" fontId="12" fillId="9" borderId="11" xfId="0" applyFont="1" applyFill="1" applyBorder="1" applyAlignment="1">
      <alignment vertical="center"/>
    </xf>
    <xf numFmtId="0" fontId="10" fillId="9" borderId="11" xfId="0" applyFont="1" applyFill="1" applyBorder="1" applyAlignment="1">
      <alignment vertical="top" wrapText="1"/>
    </xf>
    <xf numFmtId="0" fontId="0" fillId="4" borderId="11" xfId="0" applyFill="1" applyBorder="1" applyAlignment="1">
      <alignment vertical="top" wrapText="1"/>
    </xf>
    <xf numFmtId="0" fontId="10" fillId="9" borderId="11" xfId="0" applyFont="1" applyFill="1" applyBorder="1" applyAlignment="1">
      <alignment horizontal="left" vertical="top"/>
    </xf>
    <xf numFmtId="0" fontId="0" fillId="9" borderId="11" xfId="0" applyFill="1" applyBorder="1" applyAlignment="1">
      <alignment horizontal="left" vertical="top"/>
    </xf>
    <xf numFmtId="0" fontId="11" fillId="4" borderId="11" xfId="0" applyFont="1" applyFill="1" applyBorder="1" applyAlignment="1">
      <alignment vertical="top"/>
    </xf>
    <xf numFmtId="0" fontId="11" fillId="9" borderId="11" xfId="0" applyFont="1" applyFill="1" applyBorder="1" applyAlignment="1">
      <alignment vertical="top"/>
    </xf>
    <xf numFmtId="0" fontId="18" fillId="0" borderId="11" xfId="0" applyFont="1" applyBorder="1" applyAlignment="1">
      <alignment horizontal="left" vertical="top"/>
    </xf>
    <xf numFmtId="0" fontId="18" fillId="0" borderId="11" xfId="0" applyFont="1" applyBorder="1" applyAlignment="1">
      <alignment vertical="top"/>
    </xf>
    <xf numFmtId="0" fontId="18" fillId="0" borderId="11" xfId="0" applyFont="1" applyBorder="1" applyAlignment="1">
      <alignment vertical="top" wrapText="1"/>
    </xf>
    <xf numFmtId="0" fontId="18" fillId="9" borderId="11" xfId="0" applyFont="1" applyFill="1" applyBorder="1" applyAlignment="1">
      <alignment vertical="top"/>
    </xf>
    <xf numFmtId="0" fontId="18" fillId="4" borderId="11" xfId="0" applyFont="1" applyFill="1" applyBorder="1" applyAlignment="1">
      <alignment vertical="top"/>
    </xf>
    <xf numFmtId="0" fontId="19" fillId="9" borderId="11" xfId="0" applyFont="1" applyFill="1" applyBorder="1"/>
    <xf numFmtId="0" fontId="20" fillId="9" borderId="11" xfId="0" applyFont="1" applyFill="1" applyBorder="1"/>
    <xf numFmtId="0" fontId="0" fillId="9" borderId="11" xfId="0" applyFill="1" applyBorder="1" applyAlignment="1">
      <alignment horizontal="left" vertical="top" wrapText="1"/>
    </xf>
    <xf numFmtId="0" fontId="0" fillId="4" borderId="11" xfId="0" applyFill="1" applyBorder="1" applyAlignment="1">
      <alignment horizontal="left" vertical="top" wrapText="1"/>
    </xf>
    <xf numFmtId="0" fontId="0" fillId="4" borderId="12" xfId="0" applyFill="1" applyBorder="1" applyAlignment="1">
      <alignment vertical="top"/>
    </xf>
    <xf numFmtId="0" fontId="0" fillId="4" borderId="23" xfId="0" applyFill="1" applyBorder="1" applyAlignment="1">
      <alignment vertical="top"/>
    </xf>
    <xf numFmtId="0" fontId="0" fillId="11" borderId="11" xfId="0" applyFill="1" applyBorder="1" applyAlignment="1">
      <alignment vertical="top" wrapText="1"/>
    </xf>
    <xf numFmtId="0" fontId="0" fillId="11" borderId="11" xfId="0" applyFill="1" applyBorder="1" applyAlignment="1">
      <alignment vertical="top"/>
    </xf>
    <xf numFmtId="0" fontId="10" fillId="11" borderId="11" xfId="0" applyFont="1" applyFill="1" applyBorder="1" applyAlignment="1">
      <alignment vertical="top" wrapText="1"/>
    </xf>
    <xf numFmtId="0" fontId="0" fillId="9" borderId="0" xfId="0" applyFill="1" applyAlignment="1">
      <alignment vertical="top"/>
    </xf>
    <xf numFmtId="0" fontId="22" fillId="12" borderId="0" xfId="3" applyFont="1" applyFill="1" applyAlignment="1">
      <alignment horizontal="left" vertical="center" wrapText="1"/>
    </xf>
    <xf numFmtId="0" fontId="22" fillId="12" borderId="0" xfId="3" applyFont="1" applyFill="1" applyAlignment="1">
      <alignment horizontal="right" vertical="center" wrapText="1"/>
    </xf>
    <xf numFmtId="0" fontId="21" fillId="0" borderId="0" xfId="3"/>
    <xf numFmtId="0" fontId="23" fillId="13" borderId="0" xfId="3" applyFont="1" applyFill="1" applyAlignment="1">
      <alignment horizontal="left" vertical="center" wrapText="1"/>
    </xf>
    <xf numFmtId="0" fontId="23" fillId="13" borderId="0" xfId="3" applyFont="1" applyFill="1" applyAlignment="1">
      <alignment horizontal="right" vertical="center" wrapText="1"/>
    </xf>
    <xf numFmtId="0" fontId="23" fillId="14" borderId="0" xfId="3" applyFont="1" applyFill="1" applyAlignment="1">
      <alignment horizontal="left" vertical="center" wrapText="1"/>
    </xf>
    <xf numFmtId="0" fontId="23" fillId="14" borderId="0" xfId="3" applyFont="1" applyFill="1" applyAlignment="1">
      <alignment horizontal="right" vertical="center" wrapText="1"/>
    </xf>
    <xf numFmtId="4" fontId="23" fillId="13" borderId="0" xfId="3" applyNumberFormat="1" applyFont="1" applyFill="1" applyAlignment="1">
      <alignment horizontal="right" vertical="center" wrapText="1"/>
    </xf>
    <xf numFmtId="4" fontId="23" fillId="14" borderId="0" xfId="3" applyNumberFormat="1" applyFont="1" applyFill="1" applyAlignment="1">
      <alignment horizontal="right" vertical="center" wrapText="1"/>
    </xf>
    <xf numFmtId="0" fontId="17" fillId="11" borderId="11" xfId="0" applyFont="1" applyFill="1" applyBorder="1" applyAlignment="1">
      <alignment vertical="top" wrapText="1"/>
    </xf>
    <xf numFmtId="0" fontId="17" fillId="11" borderId="11" xfId="0" applyFont="1" applyFill="1" applyBorder="1" applyAlignment="1">
      <alignment wrapText="1"/>
    </xf>
    <xf numFmtId="0" fontId="6" fillId="11" borderId="11" xfId="2" applyFill="1" applyBorder="1" applyAlignment="1">
      <alignment horizontal="left" vertical="top" wrapText="1"/>
    </xf>
    <xf numFmtId="0" fontId="5" fillId="11" borderId="0" xfId="0" applyFont="1" applyFill="1" applyAlignment="1">
      <alignment horizontal="center" vertical="center"/>
    </xf>
    <xf numFmtId="0" fontId="6" fillId="11" borderId="0" xfId="2" applyFill="1" applyAlignment="1">
      <alignment horizontal="center" vertical="center"/>
    </xf>
    <xf numFmtId="0" fontId="0" fillId="11" borderId="0" xfId="0" applyFill="1"/>
    <xf numFmtId="0" fontId="0" fillId="11" borderId="11" xfId="0" applyFill="1" applyBorder="1" applyAlignment="1">
      <alignment wrapText="1"/>
    </xf>
    <xf numFmtId="0" fontId="0" fillId="4" borderId="11" xfId="0" applyFill="1" applyBorder="1" applyAlignment="1">
      <alignment horizontal="center" vertical="top"/>
    </xf>
    <xf numFmtId="0" fontId="0" fillId="9" borderId="11" xfId="0" applyFill="1" applyBorder="1" applyAlignment="1">
      <alignment horizontal="center" vertical="top"/>
    </xf>
    <xf numFmtId="0" fontId="25" fillId="13" borderId="0" xfId="3" applyFont="1" applyFill="1" applyAlignment="1">
      <alignment horizontal="left" vertical="center" wrapText="1"/>
    </xf>
    <xf numFmtId="0" fontId="24" fillId="0" borderId="0" xfId="0" applyFont="1" applyFill="1"/>
    <xf numFmtId="0" fontId="8" fillId="11" borderId="11" xfId="0" applyFont="1" applyFill="1" applyBorder="1" applyAlignment="1">
      <alignment vertical="top" wrapText="1"/>
    </xf>
    <xf numFmtId="0" fontId="8" fillId="11" borderId="11" xfId="0" applyFont="1" applyFill="1" applyBorder="1" applyAlignment="1">
      <alignment wrapText="1"/>
    </xf>
    <xf numFmtId="0" fontId="0" fillId="11" borderId="11" xfId="0" applyFill="1" applyBorder="1" applyAlignment="1">
      <alignment horizontal="left" vertical="top" wrapText="1"/>
    </xf>
  </cellXfs>
  <cellStyles count="4">
    <cellStyle name="Hyperlink" xfId="2" builtinId="8"/>
    <cellStyle name="Neutral" xfId="1" builtinId="28"/>
    <cellStyle name="Normal" xfId="0" builtinId="0"/>
    <cellStyle name="Normal 2" xfId="3" xr:uid="{D2BEE20D-A9C3-4EB5-8CE0-9B57B1A59E45}"/>
  </cellStyles>
  <dxfs count="0"/>
  <tableStyles count="0" defaultTableStyle="TableStyleMedium2" defaultPivotStyle="PivotStyleLight16"/>
  <colors>
    <mruColors>
      <color rgb="FFD6E3DC"/>
      <color rgb="FFC65911"/>
      <color rgb="FF2E273B"/>
      <color rgb="FF3D3935"/>
      <color rgb="FF2E5992"/>
      <color rgb="FFA00062"/>
      <color rgb="FFF8B90D"/>
      <color rgb="FF9B2241"/>
      <color rgb="FF006980"/>
      <color rgb="FF68D2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alia, Anju" id="{4DE61539-6723-4EE8-A800-745618A74061}" userId="Kalia, Anju"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4-06-14T10:43:51.93" personId="{4DE61539-6723-4EE8-A800-745618A74061}" id="{19DFA244-5767-4283-9280-51570E9D02D5}">
    <text>Online - if there is an online version.  On Property if only available as an OJT</text>
  </threadedComment>
  <threadedComment ref="E2" dT="2024-06-14T10:43:00.48" personId="{4DE61539-6723-4EE8-A800-745618A74061}" id="{56D9227F-5520-462E-9D5E-D99E5740FB23}">
    <text>this will be used on the dashboard to guide training managers on how to deliver this content and who the audience is if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4-06-14T10:43:51.93" personId="{4DE61539-6723-4EE8-A800-745618A74061}" id="{CACF38ED-51B7-415A-B7A4-A12984AC0CBB}">
    <text>Online - if there is an online version.  On Property if only available as an OJT</text>
  </threadedComment>
  <threadedComment ref="C2" dT="2024-06-14T10:54:45.51" personId="{4DE61539-6723-4EE8-A800-745618A74061}" id="{4437F7AA-2DF6-4480-89E6-548D183BC5E0}">
    <text>If online course exists the description will be copied, no need to fill out.  If OJT only then a description of the course is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10700%26UserMode%3D0" TargetMode="External"/><Relationship Id="rId3" Type="http://schemas.openxmlformats.org/officeDocument/2006/relationships/hyperlink" Target="https://me2.ihgmerlin.com/web/responsible-business/colleague-health-safety-training"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21837%26UserMode%3D0" TargetMode="External"/><Relationship Id="rId2" Type="http://schemas.openxmlformats.org/officeDocument/2006/relationships/hyperlink" Target="https://me2.ihgmerlin.com/web/init-ihg-information-security/homeandhttps:/me2.ihgmerlin.com/web/init-pci-compliance"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5" Type="http://schemas.openxmlformats.org/officeDocument/2006/relationships/printerSettings" Target="../printerSettings/printerSettings2.bin"/><Relationship Id="rId10" Type="http://schemas.openxmlformats.org/officeDocument/2006/relationships/hyperlink" Target="https://mylearning.sumtotal.host/core/pillarRedirect?relyingParty=LM&amp;url=app%2Fmanagement%2FLMS_ActDetails.aspx%3FActivityId%3D310951%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9" Type="http://schemas.openxmlformats.org/officeDocument/2006/relationships/hyperlink" Target="https://mylearning.sumtotal.host/core/pillarRedirect?relyingParty=LM&amp;url=app%2Fmanagement%2FLMS_ActDetails.aspx%3FActivityId%3D3590%26UserMode%3D0" TargetMode="External"/><Relationship Id="rId14" Type="http://schemas.openxmlformats.org/officeDocument/2006/relationships/hyperlink" Target="https://mylearning.sumtotal.host/core/pillarRedirect?relyingParty=LM&amp;url=app%2Fmanagement%2FLMS_ActDetails.aspx%3FActivityId%3D10770%26UserMode%3D0"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310951%26UserMode%3D0" TargetMode="External"/><Relationship Id="rId13" Type="http://schemas.openxmlformats.org/officeDocument/2006/relationships/hyperlink" Target="https://mylearning.sumtotal.host/core/pillarRedirect?relyingParty=LM&amp;url=app%2Fmanagement%2FLMS_ActDetails.aspx%3FActivityId%3D10770%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1070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3" Type="http://schemas.openxmlformats.org/officeDocument/2006/relationships/hyperlink" Target="https://mylearning.sumtotal.host/core/pillarRedirect?relyingParty=LM&amp;url=app%2fmanagement%2fLMS_ActDetails.aspx%3fActivityId%3d41%26UserMode%3d0"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17" Type="http://schemas.openxmlformats.org/officeDocument/2006/relationships/printerSettings" Target="../printerSettings/printerSettings6.bin"/><Relationship Id="rId2" Type="http://schemas.openxmlformats.org/officeDocument/2006/relationships/hyperlink" Target="https://ihgfbamericas.com/wp-content/uploads/2016/09/Art-of-Room-Service-Training-Manual.pdf" TargetMode="External"/><Relationship Id="rId16" Type="http://schemas.openxmlformats.org/officeDocument/2006/relationships/hyperlink" Target="https://mylearning.sumtotal.host/core/pillarRedirect?relyingParty=LM&amp;url=app%2fmanagement%2fLMS_ActDetails.aspx%3fActivityId%3d14870%26UserMode%3d0" TargetMode="External"/><Relationship Id="rId1" Type="http://schemas.openxmlformats.org/officeDocument/2006/relationships/hyperlink" Target="https://ihgfbamericas.com/wp-content/uploads/2016/09/The-Art-of-Breakfast-Service-Manager-Handbook-1.pdf"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310951%26UserMode%3D0" TargetMode="External"/><Relationship Id="rId5" Type="http://schemas.openxmlformats.org/officeDocument/2006/relationships/hyperlink" Target="https://me2.ihgmerlin.com/web/responsible-business/colleague-health-safety-training"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e2.ihgmerlin.com/web/init-ihg-information-security/homeandhttps:/me2.ihgmerlin.com/web/init-pci-compliance"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3735%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18" Type="http://schemas.openxmlformats.org/officeDocument/2006/relationships/printerSettings" Target="../printerSettings/printerSettings8.bin"/><Relationship Id="rId3" Type="http://schemas.openxmlformats.org/officeDocument/2006/relationships/hyperlink" Target="https://core-ihg.bravais.com/s/JyQdZmm70U6o8n6ZeWjP"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17" Type="http://schemas.openxmlformats.org/officeDocument/2006/relationships/hyperlink" Target="https://mylearning.sumtotal.host/core/pillarRedirect?relyingParty=LM&amp;url=app%2Fmanagement%2FLMS_ActDetails.aspx%3FActivityId%3D5814%26UserMode%3D0" TargetMode="External"/><Relationship Id="rId2" Type="http://schemas.openxmlformats.org/officeDocument/2006/relationships/hyperlink" Target="https://mylearning.sumtotal.host/core/pillarRedirect?relyingParty=LM&amp;url=app%2Fmanagement%2FLMS_ActDetails.aspx%3FActivityId%3D10767%26UserMode%3D0" TargetMode="External"/><Relationship Id="rId16" Type="http://schemas.openxmlformats.org/officeDocument/2006/relationships/hyperlink" Target="https://mylearning.sumtotal.host/core/pillarRedirect?relyingParty=LM&amp;url=app%2fmanagement%2fLMS_ActDetails.aspx%3fActivityId%3d10699%26UserMode%3d0" TargetMode="External"/><Relationship Id="rId1" Type="http://schemas.openxmlformats.org/officeDocument/2006/relationships/hyperlink" Target="https://mylearning.sumtotal.host/core/pillarRedirect?relyingParty=LM&amp;url=app%2Fmanagement%2FLMS_ActDetails.aspx%3FActivityId%3D5814%26UserMode%3D0" TargetMode="External"/><Relationship Id="rId6" Type="http://schemas.openxmlformats.org/officeDocument/2006/relationships/hyperlink" Target="https://me2.ihgmerlin.com/web/init-ihg-information-security/homeandhttps:/me2.ihgmerlin.com/web/init-pci-compliance"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5" Type="http://schemas.openxmlformats.org/officeDocument/2006/relationships/hyperlink" Target="https://me2.ihgmerlin.com/web/responsible-business/colleague-health-safety-training"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4" Type="http://schemas.openxmlformats.org/officeDocument/2006/relationships/hyperlink" Target="https://mylearning.sumtotal.host/core/pillarRedirect?relyingParty=LM&amp;url=app%2fmanagement%2fLMS_ActDetails.aspx%3fActivityId%3d41%26UserMode%3d0" TargetMode="External"/><Relationship Id="rId9"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3" Type="http://schemas.openxmlformats.org/officeDocument/2006/relationships/hyperlink" Target="https://mylearning.sumtotal.host/core/pillarRedirect?relyingParty=LM&amp;url=app%2Fmanagement%2FLMS_ActDetails.aspx%3FActivityId%3D21837%26UserMode%3D0" TargetMode="External"/><Relationship Id="rId3" Type="http://schemas.openxmlformats.org/officeDocument/2006/relationships/hyperlink" Target="https://me2.ihgmerlin.com/web/responsible-business/colleague-health-safety-training" TargetMode="External"/><Relationship Id="rId7"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12" Type="http://schemas.openxmlformats.org/officeDocument/2006/relationships/hyperlink" Target="https://mylearning.sumtotal.host/core/pillarRedirect?relyingParty=LM&amp;url=app%2Fmanagement%2FLMS_ActDetails.aspx%3FActivityId%3D310951%26UserMode%3D0" TargetMode="External"/><Relationship Id="rId2" Type="http://schemas.openxmlformats.org/officeDocument/2006/relationships/hyperlink" Target="https://ihgolm.my.salesforce.com/sfc/p/" TargetMode="External"/><Relationship Id="rId16" Type="http://schemas.openxmlformats.org/officeDocument/2006/relationships/printerSettings" Target="../printerSettings/printerSettings9.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ihgfbglobal.com/regional-home-amer/amer-even-hotels/amer-ev-guides-tools-learning/"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5" Type="http://schemas.openxmlformats.org/officeDocument/2006/relationships/hyperlink" Target="https://me2.ihgmerlin.com/web/init-even-hotels-hotel-in-a-box/home"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4" Type="http://schemas.openxmlformats.org/officeDocument/2006/relationships/hyperlink" Target="https://me2.ihgmerlin.com/web/init-ihg-information-security/homeandhttps:/me2.ihgmerlin.com/web/init-pci-compliance" TargetMode="External"/><Relationship Id="rId9"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10704%26UserMode%3D0" TargetMode="External"/><Relationship Id="rId13"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7" Type="http://schemas.openxmlformats.org/officeDocument/2006/relationships/hyperlink" Target="https://mylearning.sumtotal.host/core/pillarRedirect?relyingParty=LM&amp;url=app%2Fmanagement%2FLMS_ActDetails.aspx%3FActivityId%3D10716%26UserMode%3D0" TargetMode="External"/><Relationship Id="rId12" Type="http://schemas.openxmlformats.org/officeDocument/2006/relationships/hyperlink" Target="https://me2.ihgmerlin.com/web/init-ihg-information-security/homeandhttps:/me2.ihgmerlin.com/web/init-pci-compliance" TargetMode="External"/><Relationship Id="rId17" Type="http://schemas.openxmlformats.org/officeDocument/2006/relationships/printerSettings" Target="../printerSettings/printerSettings10.bin"/><Relationship Id="rId2" Type="http://schemas.openxmlformats.org/officeDocument/2006/relationships/hyperlink" Target="https://mylearning.sumtotal.host/core/pillarRedirect?relyingParty=LM&amp;url=app%2fmanagement%2fLMS_ActDetails.aspx%3fActivityId%3d41%26UserMode%3d0" TargetMode="External"/><Relationship Id="rId16" Type="http://schemas.openxmlformats.org/officeDocument/2006/relationships/hyperlink" Target="https://mylearning.sumtotal.host/core/pillarRedirect?relyingParty=LM&amp;url=app%2Fmanagement%2FLMS_ActDetails.aspx%3FActivityId%3D10770%26UserMode%3D0" TargetMode="External"/><Relationship Id="rId1" Type="http://schemas.openxmlformats.org/officeDocument/2006/relationships/hyperlink" Target="https://ihgfbamericas.com/brands/holiday-inn-hotels-resorts/breakfast-buffet-hub/training-implementation/" TargetMode="External"/><Relationship Id="rId6" Type="http://schemas.openxmlformats.org/officeDocument/2006/relationships/hyperlink" Target="https://mylearning.sumtotal.host/core/pillarRedirect?relyingParty=LM&amp;url=app%2Fmanagement%2FLMS_ActDetails.aspx%3FActivityId%3D10715%26UserMode%3D0" TargetMode="External"/><Relationship Id="rId11" Type="http://schemas.openxmlformats.org/officeDocument/2006/relationships/hyperlink" Target="https://me2.ihgmerlin.com/web/responsible-business/colleague-health-safety-training"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5" Type="http://schemas.openxmlformats.org/officeDocument/2006/relationships/hyperlink" Target="https://mylearning.sumtotal.host/core/pillarRedirect?relyingParty=LM&amp;url=app%2Fmanagement%2FLMS_ActDetails.aspx%3FActivityId%3D10700%26UserMode%3D0" TargetMode="External"/><Relationship Id="rId10" Type="http://schemas.openxmlformats.org/officeDocument/2006/relationships/hyperlink" Target="https://mylearning.sumtotal.host/core/pillarRedirect?relyingParty=LM&amp;url=app%2Fmanagement%2FLMS_ActDetails.aspx%3FActivityId%3D564%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9" Type="http://schemas.openxmlformats.org/officeDocument/2006/relationships/hyperlink" Target="https://mylearning.sumtotal.host/core/pillarRedirect?relyingParty=LM&amp;url=app%2Fmanagement%2FLMS_ActDetails.aspx%3FActivityId%3D6447%26UserMode%3D0" TargetMode="External"/><Relationship Id="rId14" Type="http://schemas.openxmlformats.org/officeDocument/2006/relationships/hyperlink" Target="https://mylearning.sumtotal.host/core/pillarRedirect?relyingParty=LM&amp;url=app%2Fmanagement%2FLMS_ActDetails.aspx%3FActivityId%3D21837%26UserMode%3D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core%2Factivitydetails%2FViewActivityDetails%3FActivityId%3D10712%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301706%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5" Type="http://schemas.openxmlformats.org/officeDocument/2006/relationships/printerSettings" Target="../printerSettings/printerSettings12.bin"/><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hyperlink" Target="https://mylearning.sumtotal.host/core/pillarRedirect?relyingParty=LM&amp;url=app%2fmanagement%2fLMS_ActDetails.aspx%3fActivityId%3d438%26UserMode%3d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394772%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166549%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hyperlink" Target="https://mylearning.sumtotal.host/core/pillarRedirect?relyingParty=LM&amp;url=app%2fmanagement%2fLMS_ActDetails.aspx%3fActivityId%3d10766%26UserMode%3d0" TargetMode="External"/><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6" Type="http://schemas.openxmlformats.org/officeDocument/2006/relationships/printerSettings" Target="../printerSettings/printerSettings15.bin"/><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5" Type="http://schemas.openxmlformats.org/officeDocument/2006/relationships/hyperlink" Target="https://mylearning.sumtotal.host/core/pillarRedirect?relyingParty=LM&amp;url=app%2fmanagement%2fLMS_ActDetails.aspx%3fActivityId%3d10778%26UserMode%3d0"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 Id="rId14" Type="http://schemas.openxmlformats.org/officeDocument/2006/relationships/hyperlink" Target="https://mylearning.sumtotal.host/core/pillarRedirect?relyingParty=LM&amp;url=app%2fmanagement%2fLMS_ActDetails.aspx%3fActivityId%3d300170%26UserMode%3d0"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ylearning.sumtotal.host/core/pillarRedirect?relyingParty=LM&amp;url=app%2Fmanagement%2FLMS_ActDetails.aspx%3FActivityId%3D564%26UserMode%3D0" TargetMode="External"/><Relationship Id="rId13" Type="http://schemas.openxmlformats.org/officeDocument/2006/relationships/printerSettings" Target="../printerSettings/printerSettings16.bin"/><Relationship Id="rId3" Type="http://schemas.openxmlformats.org/officeDocument/2006/relationships/hyperlink" Target="https://me2.ihgmerlin.com/web/init-ihg-information-security/homeandhttps:/me2.ihgmerlin.com/web/init-pci-compliance" TargetMode="External"/><Relationship Id="rId7" Type="http://schemas.openxmlformats.org/officeDocument/2006/relationships/hyperlink" Target="https://mylearning.sumtotal.host/core/pillarRedirect?relyingParty=LM&amp;url=app%2Fmanagement%2FLMS_ActDetails.aspx%3FActivityId%3D6447%26UserMode%3D0" TargetMode="External"/><Relationship Id="rId12" Type="http://schemas.openxmlformats.org/officeDocument/2006/relationships/hyperlink" Target="https://mylearning.sumtotal.host/core/pillarRedirect?relyingParty=LM&amp;url=app%2Fmanagement%2FLMS_ActDetails.aspx%3FActivityId%3D10770%26UserMode%3D0" TargetMode="External"/><Relationship Id="rId2" Type="http://schemas.openxmlformats.org/officeDocument/2006/relationships/hyperlink" Target="https://me2.ihgmerlin.com/web/responsible-business/colleague-health-safety-training" TargetMode="External"/><Relationship Id="rId1" Type="http://schemas.openxmlformats.org/officeDocument/2006/relationships/hyperlink" Target="https://mylearning.sumtotal.host/core/pillarRedirect?relyingParty=LM&amp;url=app%2fmanagement%2fLMS_ActDetails.aspx%3fActivityId%3d41%26UserMode%3d0" TargetMode="External"/><Relationship Id="rId6"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 Id="rId11" Type="http://schemas.openxmlformats.org/officeDocument/2006/relationships/hyperlink" Target="https://mylearning.sumtotal.host/core/pillarRedirect?relyingParty=LM&amp;url=app%2Fmanagement%2FLMS_ActDetails.aspx%3FActivityId%3D10700%26UserMode%3D0" TargetMode="External"/><Relationship Id="rId5"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0" Type="http://schemas.openxmlformats.org/officeDocument/2006/relationships/hyperlink" Target="https://mylearning.sumtotal.host/core/pillarRedirect?relyingParty=LM&amp;url=app%2Fmanagement%2FLMS_ActDetails.aspx%3FActivityId%3D21837%26UserMode%3D0" TargetMode="External"/><Relationship Id="rId4"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9" Type="http://schemas.openxmlformats.org/officeDocument/2006/relationships/hyperlink" Target="https://mylearning.sumtotal.host/core/pillarRedirect?relyingParty=LM&amp;url=app%2Fmanagement%2FLMS_ActDetails.aspx%3FActivityId%3D310951%26UserMode%3D0"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https://mylearning.sumtotal.host/core/pillarRedirect?relyingParty=LM&amp;url=app%2Fmanagement%2FLMS_ActDetails.aspx%3FActivityId%3D10767%26UserMode%3D0" TargetMode="External"/><Relationship Id="rId18" Type="http://schemas.openxmlformats.org/officeDocument/2006/relationships/hyperlink" Target="https://ihgfbamericas.com/brands/holiday-inn-hotels-resorts/breakfast-buffet-hub/training-implementation/" TargetMode="External"/><Relationship Id="rId26" Type="http://schemas.openxmlformats.org/officeDocument/2006/relationships/hyperlink" Target="https://mylearning.sumtotal.host/core/pillarRedirect?relyingParty=LM&amp;url=app%2fmanagement%2fLMS_ActDetails.aspx%3fActivityId%3d41%26UserMode%3d0" TargetMode="External"/><Relationship Id="rId39" Type="http://schemas.openxmlformats.org/officeDocument/2006/relationships/comments" Target="../comments1.xml"/><Relationship Id="rId21" Type="http://schemas.openxmlformats.org/officeDocument/2006/relationships/hyperlink" Target="https://me2.ihgmerlin.com/web/responsible-business/colleague-health-safety-training" TargetMode="External"/><Relationship Id="rId34" Type="http://schemas.openxmlformats.org/officeDocument/2006/relationships/hyperlink" Target="https://mylearning.sumtotal.host/core/pillarRedirect?relyingParty=LM&amp;url=app%2fmanagement%2fLMS_ActDetails.aspx%3fActivityId%3d3735%26UserMode%3d0" TargetMode="External"/><Relationship Id="rId7" Type="http://schemas.openxmlformats.org/officeDocument/2006/relationships/hyperlink" Target="https://mylearning.sumtotal.host/core/pillarRedirect?relyingParty=LM&amp;url=app%2Fmanagement%2FLMS_ActDetails.aspx%3FActivityId%3D3590%26UserMode%3D0" TargetMode="External"/><Relationship Id="rId12" Type="http://schemas.openxmlformats.org/officeDocument/2006/relationships/hyperlink" Target="https://mylearning.sumtotal.host/core/pillarRedirect?relyingParty=LM&amp;url=app%2Fmanagement%2FLMS_ActDetails.aspx%3FActivityId%3D5814%26UserMode%3D0" TargetMode="External"/><Relationship Id="rId17" Type="http://schemas.openxmlformats.org/officeDocument/2006/relationships/hyperlink" Target="https://ihgfbamericas.com/wp-content/uploads/2016/09/Art-of-Room-Service-Training-Manual.pdf" TargetMode="External"/><Relationship Id="rId25" Type="http://schemas.openxmlformats.org/officeDocument/2006/relationships/hyperlink" Target="https://ihgfbglobal.com/regional-home-amer/amer-even-hotels/amer-ev-guides-tools-learning/" TargetMode="External"/><Relationship Id="rId33" Type="http://schemas.openxmlformats.org/officeDocument/2006/relationships/hyperlink" Target="https://mylearning.sumtotal.host/core/pillarRedirect?relyingParty=LM&amp;url=app%2fmanagement%2fLMS_ActDetails.aspx%3fActivityId%3d14835%26UserMode%3d0" TargetMode="External"/><Relationship Id="rId38" Type="http://schemas.openxmlformats.org/officeDocument/2006/relationships/vmlDrawing" Target="../drawings/vmlDrawing1.vml"/><Relationship Id="rId2" Type="http://schemas.openxmlformats.org/officeDocument/2006/relationships/hyperlink" Target="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TargetMode="External"/><Relationship Id="rId16" Type="http://schemas.openxmlformats.org/officeDocument/2006/relationships/hyperlink" Target="https://ihgfbamericas.com/wp-content/uploads/2016/09/The-Art-of-Breakfast-Service-Manager-Handbook-1.pdf" TargetMode="External"/><Relationship Id="rId20" Type="http://schemas.openxmlformats.org/officeDocument/2006/relationships/hyperlink" Target="https://ihgolm.my.salesforce.com/sfc/p/" TargetMode="External"/><Relationship Id="rId29" Type="http://schemas.openxmlformats.org/officeDocument/2006/relationships/hyperlink" Target="https://mylearning.sumtotal.host/core/pillarRedirect?relyingParty=LM&amp;url=app%2fmanagement%2fLMS_ActDetails.aspx%3fActivityId%3d10766%26UserMode%3d0" TargetMode="External"/><Relationship Id="rId1" Type="http://schemas.openxmlformats.org/officeDocument/2006/relationships/hyperlink" Target="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TargetMode="External"/><Relationship Id="rId6" Type="http://schemas.openxmlformats.org/officeDocument/2006/relationships/hyperlink" Target="https://mylearning.sumtotal.host/core/pillarRedirect?relyingParty=LM&amp;url=app%2Fmanagement%2FLMS_ActDetails.aspx%3FActivityId%3D10704%26UserMode%3D0" TargetMode="External"/><Relationship Id="rId11" Type="http://schemas.openxmlformats.org/officeDocument/2006/relationships/hyperlink" Target="https://mylearning.sumtotal.host/core/pillarRedirect?relyingParty=LM&amp;url=app%2Fmanagement%2FLMS_ActDetails.aspx%3FActivityId%3D564%26UserMode%3D0" TargetMode="External"/><Relationship Id="rId24" Type="http://schemas.openxmlformats.org/officeDocument/2006/relationships/hyperlink" Target="https://me2.ihgmerlin.com/web/init-even-hotels-hotel-in-a-box/home" TargetMode="External"/><Relationship Id="rId32" Type="http://schemas.openxmlformats.org/officeDocument/2006/relationships/hyperlink" Target="https://mylearning.sumtotal.host/core/pillarRedirect?relyingParty=LM&amp;url=app%2fmanagement%2fLMS_ActDetails.aspx%3fActivityId%3d14870%26UserMode%3d0" TargetMode="External"/><Relationship Id="rId37" Type="http://schemas.openxmlformats.org/officeDocument/2006/relationships/hyperlink" Target="https://mylearning.sumtotal.host/core/pillarRedirect?relyingParty=LM&amp;url=app%2fmanagement%2fLMS_ActDetails.aspx%3fActivityId%3d394772%26UserMode%3d0" TargetMode="External"/><Relationship Id="rId40" Type="http://schemas.microsoft.com/office/2017/10/relationships/threadedComment" Target="../threadedComments/threadedComment1.xml"/><Relationship Id="rId5" Type="http://schemas.openxmlformats.org/officeDocument/2006/relationships/hyperlink" Target="https://mylearning.sumtotal.host/core/pillarRedirect?relyingParty=LM&amp;url=app%2Fmanagement%2FLMS_ActDetails.aspx%3FActivityId%3D10716%26UserMode%3D0" TargetMode="External"/><Relationship Id="rId15" Type="http://schemas.openxmlformats.org/officeDocument/2006/relationships/hyperlink" Target="https://mylearning.sumtotal.host/core/pillarRedirect?relyingParty=LM&amp;url=app%2Fmanagement%2FLMS_ActDetails.aspx%3FActivityId%3D10770%26UserMode%3D0" TargetMode="External"/><Relationship Id="rId23" Type="http://schemas.openxmlformats.org/officeDocument/2006/relationships/hyperlink" Target="https://me2.ihgmerlin.com/web/init-ihg-information-security/homeandhttps:/me2.ihgmerlin.com/web/init-pci-compliance" TargetMode="External"/><Relationship Id="rId28" Type="http://schemas.openxmlformats.org/officeDocument/2006/relationships/hyperlink" Target="https://mylearning.sumtotal.host/core/pillarRedirect?relyingParty=LM&amp;url=app%2fmanagement%2fLMS_ActDetails.aspx%3fActivityId%3d438%26UserMode%3d0" TargetMode="External"/><Relationship Id="rId36" Type="http://schemas.openxmlformats.org/officeDocument/2006/relationships/hyperlink" Target="https://mylearning.sumtotal.host/core/pillarRedirect?relyingParty=LM&amp;url=app%2fmanagement%2fLMS_ActDetails.aspx%3fActivityId%3d166549%26UserMode%3d0" TargetMode="External"/><Relationship Id="rId10" Type="http://schemas.openxmlformats.org/officeDocument/2006/relationships/hyperlink" Target="https://mylearning.sumtotal.host/core/pillarRedirect?relyingParty=LM&amp;url=app%2Fmanagement%2FLMS_ActDetails.aspx%3FActivityId%3D6447%26UserMode%3D0" TargetMode="External"/><Relationship Id="rId19" Type="http://schemas.openxmlformats.org/officeDocument/2006/relationships/hyperlink" Target="https://www.ihgplc.com/en/our-brands" TargetMode="External"/><Relationship Id="rId31" Type="http://schemas.openxmlformats.org/officeDocument/2006/relationships/hyperlink" Target="https://mylearning.sumtotal.host/core/pillarRedirect?relyingParty=LM&amp;url=app%2fmanagement%2fLMS_ActDetails.aspx%3fActivityId%3d10778%26UserMode%3d0" TargetMode="External"/><Relationship Id="rId4" Type="http://schemas.openxmlformats.org/officeDocument/2006/relationships/hyperlink" Target="https://mylearning.sumtotal.host/core/pillarRedirect?relyingParty=LM&amp;url=app%2Fmanagement%2FLMS_ActDetails.aspx%3FActivityId%3D10715%26UserMode%3D0" TargetMode="External"/><Relationship Id="rId9" Type="http://schemas.openxmlformats.org/officeDocument/2006/relationships/hyperlink" Target="https://mylearning.sumtotal.host/core/pillarRedirect?relyingParty=LM&amp;url=app%2Fmanagement%2FLMS_ActDetails.aspx%3FActivityId%3D21837%26UserMode%3D0" TargetMode="External"/><Relationship Id="rId14" Type="http://schemas.openxmlformats.org/officeDocument/2006/relationships/hyperlink" Target="https://mylearning.sumtotal.host/core/pillarRedirect?relyingParty=LM&amp;url=app%2Fmanagement%2FLMS_ActDetails.aspx%3FActivityId%3D10700%26UserMode%3D0" TargetMode="External"/><Relationship Id="rId22" Type="http://schemas.openxmlformats.org/officeDocument/2006/relationships/hyperlink" Target="https://core-ihg.bravais.com/s/JyQdZmm70U6o8n6ZeWjP" TargetMode="External"/><Relationship Id="rId27" Type="http://schemas.openxmlformats.org/officeDocument/2006/relationships/hyperlink" Target="https://mylearning.sumtotal.host/core/pillarRedirect?relyingParty=LM&amp;url=app%2fmanagement%2fLMS_ActDetails.aspx%3fActivityId%3d301706%26UserMode%3d0" TargetMode="External"/><Relationship Id="rId30" Type="http://schemas.openxmlformats.org/officeDocument/2006/relationships/hyperlink" Target="https://mylearning.sumtotal.host/core/pillarRedirect?relyingParty=LM&amp;url=app%2fmanagement%2fLMS_ActDetails.aspx%3fActivityId%3d300170%26UserMode%3d0" TargetMode="External"/><Relationship Id="rId35" Type="http://schemas.openxmlformats.org/officeDocument/2006/relationships/hyperlink" Target="https://mylearning.sumtotal.host/core/pillarRedirect?relyingParty=LM&amp;url=app%2fmanagement%2fLMS_ActDetails.aspx%3fActivityId%3d10699%26UserMode%3d0" TargetMode="External"/><Relationship Id="rId8" Type="http://schemas.openxmlformats.org/officeDocument/2006/relationships/hyperlink" Target="https://mylearning.sumtotal.host/core/pillarRedirect?relyingParty=LM&amp;url=app%2Fmanagement%2FLMS_ActDetails.aspx%3FActivityId%3D310951%26UserMode%3D0" TargetMode="External"/><Relationship Id="rId3" Type="http://schemas.openxmlformats.org/officeDocument/2006/relationships/hyperlink" Target="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TargetMode="Externa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BD275-B1E9-4F29-85D3-8D1CA680F03D}">
  <sheetPr codeName="Sheet1"/>
  <dimension ref="A1:D16"/>
  <sheetViews>
    <sheetView workbookViewId="0">
      <selection activeCell="A7" sqref="A7"/>
    </sheetView>
  </sheetViews>
  <sheetFormatPr defaultColWidth="8.6640625" defaultRowHeight="14.4" x14ac:dyDescent="0.3"/>
  <cols>
    <col min="1" max="1" width="24.6640625" customWidth="1"/>
    <col min="2" max="2" width="21.33203125" customWidth="1"/>
    <col min="3" max="3" width="20.44140625" customWidth="1"/>
    <col min="4" max="4" width="18.6640625" customWidth="1"/>
  </cols>
  <sheetData>
    <row r="1" spans="1:4" ht="36" customHeight="1" x14ac:dyDescent="0.3">
      <c r="A1" s="62" t="s">
        <v>0</v>
      </c>
      <c r="B1" s="62" t="s">
        <v>1</v>
      </c>
      <c r="C1" s="62" t="s">
        <v>2</v>
      </c>
    </row>
    <row r="2" spans="1:4" ht="36" customHeight="1" x14ac:dyDescent="0.3">
      <c r="A2" t="s">
        <v>3</v>
      </c>
      <c r="B2" t="s">
        <v>4</v>
      </c>
      <c r="C2" t="s">
        <v>5</v>
      </c>
      <c r="D2" t="s">
        <v>6</v>
      </c>
    </row>
    <row r="3" spans="1:4" ht="36" customHeight="1" x14ac:dyDescent="0.3">
      <c r="A3" t="s">
        <v>7</v>
      </c>
      <c r="B3" t="s">
        <v>8</v>
      </c>
      <c r="C3" t="s">
        <v>9</v>
      </c>
      <c r="D3" t="s">
        <v>10</v>
      </c>
    </row>
    <row r="4" spans="1:4" ht="36" customHeight="1" x14ac:dyDescent="0.3">
      <c r="A4" t="s">
        <v>11</v>
      </c>
      <c r="B4" t="s">
        <v>12</v>
      </c>
      <c r="C4" t="s">
        <v>13</v>
      </c>
    </row>
    <row r="5" spans="1:4" ht="36" customHeight="1" x14ac:dyDescent="0.3">
      <c r="A5" t="s">
        <v>14</v>
      </c>
      <c r="B5" t="s">
        <v>15</v>
      </c>
      <c r="C5" t="s">
        <v>16</v>
      </c>
    </row>
    <row r="6" spans="1:4" ht="36" customHeight="1" x14ac:dyDescent="0.3">
      <c r="A6" t="s">
        <v>17</v>
      </c>
      <c r="B6" s="75" t="s">
        <v>18</v>
      </c>
      <c r="C6" s="75" t="s">
        <v>19</v>
      </c>
      <c r="D6" s="75" t="s">
        <v>20</v>
      </c>
    </row>
    <row r="7" spans="1:4" ht="36" customHeight="1" x14ac:dyDescent="0.3">
      <c r="A7" t="s">
        <v>21</v>
      </c>
      <c r="B7" t="s">
        <v>22</v>
      </c>
    </row>
    <row r="8" spans="1:4" ht="36" customHeight="1" x14ac:dyDescent="0.3">
      <c r="A8" t="s">
        <v>23</v>
      </c>
      <c r="B8" t="s">
        <v>24</v>
      </c>
      <c r="C8" t="s">
        <v>25</v>
      </c>
    </row>
    <row r="9" spans="1:4" ht="36" customHeight="1" x14ac:dyDescent="0.3">
      <c r="A9" t="s">
        <v>26</v>
      </c>
      <c r="B9" t="s">
        <v>27</v>
      </c>
    </row>
    <row r="10" spans="1:4" ht="36" customHeight="1" x14ac:dyDescent="0.3">
      <c r="A10" t="s">
        <v>28</v>
      </c>
      <c r="B10" t="s">
        <v>29</v>
      </c>
      <c r="C10" t="s">
        <v>30</v>
      </c>
    </row>
    <row r="11" spans="1:4" ht="36" customHeight="1" x14ac:dyDescent="0.3">
      <c r="A11" t="s">
        <v>31</v>
      </c>
      <c r="B11" t="s">
        <v>32</v>
      </c>
      <c r="C11" t="s">
        <v>33</v>
      </c>
    </row>
    <row r="12" spans="1:4" ht="36" customHeight="1" x14ac:dyDescent="0.3">
      <c r="A12" t="s">
        <v>34</v>
      </c>
      <c r="B12" t="s">
        <v>35</v>
      </c>
      <c r="C12" t="s">
        <v>36</v>
      </c>
    </row>
    <row r="13" spans="1:4" ht="36" customHeight="1" x14ac:dyDescent="0.3">
      <c r="A13" t="s">
        <v>37</v>
      </c>
      <c r="B13" t="s">
        <v>38</v>
      </c>
      <c r="C13" t="s">
        <v>39</v>
      </c>
    </row>
    <row r="14" spans="1:4" ht="36" customHeight="1" x14ac:dyDescent="0.3">
      <c r="A14" t="s">
        <v>40</v>
      </c>
      <c r="B14" t="s">
        <v>41</v>
      </c>
      <c r="C14" t="s">
        <v>42</v>
      </c>
    </row>
    <row r="15" spans="1:4" ht="36" customHeight="1" x14ac:dyDescent="0.3">
      <c r="A15" t="s">
        <v>43</v>
      </c>
      <c r="B15" t="s">
        <v>44</v>
      </c>
      <c r="C15" t="s">
        <v>45</v>
      </c>
      <c r="D15" t="s">
        <v>46</v>
      </c>
    </row>
    <row r="16" spans="1:4" x14ac:dyDescent="0.3">
      <c r="A16" t="s">
        <v>47</v>
      </c>
      <c r="B16" t="s">
        <v>48</v>
      </c>
      <c r="C16" t="s">
        <v>49</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F4ACC-AA05-46B2-A39C-4C77C6AC7FF8}">
  <dimension ref="A1:F41"/>
  <sheetViews>
    <sheetView zoomScale="85" zoomScaleNormal="85" workbookViewId="0">
      <pane xSplit="1" ySplit="1" topLeftCell="E12" activePane="bottomRight" state="frozen"/>
      <selection pane="topRight" activeCell="N75" sqref="N75"/>
      <selection pane="bottomLeft" activeCell="N75" sqref="N75"/>
      <selection pane="bottomRight" activeCell="F2" sqref="F2"/>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77" t="s">
        <v>56</v>
      </c>
      <c r="B2" s="76" t="s">
        <v>57</v>
      </c>
      <c r="C2" s="77"/>
      <c r="D2" s="7"/>
      <c r="E2" s="7" t="str">
        <f>_xlfn.XLOOKUP(A2,'OJT IDs'!A:A,'OJT IDs'!N:N,"Not found")</f>
        <v>IHG6321776-OJT</v>
      </c>
      <c r="F2" s="9" t="str">
        <f>_xlfn.XLOOKUP(E2,'OJT Links'!E:E,'OJT Links'!H:H,"Not found")</f>
        <v>https://mylearning.sumtotal.host/core/pillarRedirect?relyingParty=LM&amp;url=app%2Fmanagement%2FLMS_ActDetails.aspx%3FActivityId%3D601648%26UserMode%3D0</v>
      </c>
    </row>
    <row r="3" spans="1:6" ht="64.95" customHeight="1" x14ac:dyDescent="0.3">
      <c r="A3" s="77" t="s">
        <v>574</v>
      </c>
      <c r="B3" s="80" t="s">
        <v>58</v>
      </c>
      <c r="C3" s="82" t="s">
        <v>59</v>
      </c>
      <c r="D3" s="7" t="str">
        <f>_xlfn.XLOOKUP(A3,'All Courses'!A:A,'All Courses'!D:D,"Not found")</f>
        <v>course</v>
      </c>
      <c r="E3" s="7" t="str">
        <f>_xlfn.XLOOKUP(A3,'OJT IDs'!A:A,'OJT IDs'!N:N,"Not found")</f>
        <v>IHG0061303-OJT</v>
      </c>
      <c r="F3" s="9" t="str">
        <f>_xlfn.XLOOKUP(E3,'OJT Links'!E:E,'OJT Links'!H:H,"Not found")</f>
        <v>https://mylearning.sumtotal.host/core/pillarRedirect?relyingParty=LM&amp;url=app%2Fmanagement%2FLMS_ActDetails.aspx%3FActivityId%3D595005%26UserMode%3D0</v>
      </c>
    </row>
    <row r="4" spans="1:6" ht="64.95" customHeight="1" x14ac:dyDescent="0.3">
      <c r="A4" s="77" t="s">
        <v>60</v>
      </c>
      <c r="B4" s="76" t="s">
        <v>61</v>
      </c>
      <c r="C4" s="77"/>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s="146" customFormat="1" ht="100.8" x14ac:dyDescent="0.3">
      <c r="A5" s="141" t="s">
        <v>62</v>
      </c>
      <c r="B5" s="142" t="s">
        <v>58</v>
      </c>
      <c r="C5" s="143" t="s">
        <v>63</v>
      </c>
      <c r="D5" s="144" t="str">
        <f>_xlfn.XLOOKUP(A5,'All Courses'!A:A,'All Courses'!D:D,"Not found")</f>
        <v>Resource</v>
      </c>
      <c r="E5" s="144" t="str">
        <f>_xlfn.XLOOKUP(A5,'OJT IDs'!A:A,'OJT IDs'!N:N,"Not found")</f>
        <v>IHG0047626-OJT</v>
      </c>
      <c r="F5" s="9" t="str">
        <f>_xlfn.XLOOKUP(E5,'OJT Links'!E:E,'OJT Links'!H:H,"Not found")</f>
        <v>Not found</v>
      </c>
    </row>
    <row r="6" spans="1:6" ht="28.8" x14ac:dyDescent="0.3">
      <c r="A6" s="77" t="s">
        <v>64</v>
      </c>
      <c r="B6" s="76" t="s">
        <v>65</v>
      </c>
      <c r="C6" s="81" t="s">
        <v>66</v>
      </c>
      <c r="D6" s="7" t="str">
        <f>_xlfn.XLOOKUP(A6,'All Courses'!A:A,'All Courses'!D:D,"Not found")</f>
        <v>course</v>
      </c>
      <c r="E6" s="7" t="str">
        <f>_xlfn.XLOOKUP(A6,'OJT IDs'!A:A,'OJT IDs'!N:N,"Not found")</f>
        <v>IHG9191264-OJT</v>
      </c>
      <c r="F6" s="9" t="str">
        <f>_xlfn.XLOOKUP(E6,'OJT Links'!E:E,'OJT Links'!H:H,"Not found")</f>
        <v>https://mylearning.sumtotal.host/core/pillarRedirect?relyingParty=LM&amp;url=app%2Fmanagement%2FLMS_ActDetails.aspx%3FActivityId%3D601724%26UserMode%3D0</v>
      </c>
    </row>
    <row r="7" spans="1:6" ht="43.2" x14ac:dyDescent="0.3">
      <c r="A7" s="77" t="s">
        <v>67</v>
      </c>
      <c r="B7" s="76" t="s">
        <v>68</v>
      </c>
      <c r="C7" s="77"/>
      <c r="D7" s="7"/>
      <c r="E7" s="7" t="str">
        <f>_xlfn.XLOOKUP(A7,'OJT IDs'!A:A,'OJT IDs'!N:N,"Not found")</f>
        <v>IHG8611503-OJT</v>
      </c>
      <c r="F7" s="9" t="str">
        <f>_xlfn.XLOOKUP(E7,'OJT Links'!E:E,'OJT Links'!H:H,"Not found")</f>
        <v>https://mylearning.sumtotal.host/core/pillarRedirect?relyingParty=LM&amp;url=app%2Fmanagement%2FLMS_ActDetails.aspx%3FActivityId%3D601740%26UserMode%3D0</v>
      </c>
    </row>
    <row r="8" spans="1:6" ht="115.2" x14ac:dyDescent="0.3">
      <c r="A8" s="76" t="s">
        <v>399</v>
      </c>
      <c r="B8" s="80" t="s">
        <v>69</v>
      </c>
      <c r="C8" s="77" t="s">
        <v>70</v>
      </c>
      <c r="D8" s="7" t="str">
        <f>_xlfn.XLOOKUP(A8,'All Courses'!A:A,'All Courses'!D:D,"Not found")</f>
        <v>course</v>
      </c>
      <c r="E8" s="7" t="str">
        <f>_xlfn.XLOOKUP(A8,'OJT IDs'!A:A,'OJT IDs'!N:N,"Not found")</f>
        <v>IHG0049491-OJT</v>
      </c>
      <c r="F8" s="9" t="str">
        <f>_xlfn.XLOOKUP(E8,'OJT Links'!E:E,'OJT Links'!H:H,"Not found")</f>
        <v>https://mylearning.sumtotal.host/core/pillarRedirect?relyingParty=LM&amp;url=app%2Fmanagement%2FLMS_ActDetails.aspx%3FActivityId%3D595027%26UserMode%3D0</v>
      </c>
    </row>
    <row r="9" spans="1:6" ht="115.2" x14ac:dyDescent="0.3">
      <c r="A9" s="76" t="s">
        <v>71</v>
      </c>
      <c r="B9" s="80" t="s">
        <v>58</v>
      </c>
      <c r="C9" s="43" t="s">
        <v>72</v>
      </c>
      <c r="D9" s="7" t="str">
        <f>_xlfn.XLOOKUP(A9,'All Courses'!A:A,'All Courses'!D:D,"Not found")</f>
        <v>course</v>
      </c>
      <c r="E9" s="7" t="str">
        <f>_xlfn.XLOOKUP(A9,'OJT IDs'!A:A,'OJT IDs'!N:N,"Not found")</f>
        <v>IHG0054667-OJT</v>
      </c>
      <c r="F9" s="9" t="str">
        <f>_xlfn.XLOOKUP(E9,'OJT Links'!E:E,'OJT Links'!H:H,"Not found")</f>
        <v>https://mylearning.sumtotal.host/core/pillarRedirect?relyingParty=LM&amp;url=app%2Fmanagement%2FLMS_ActDetails.aspx%3FActivityId%3D595030%26UserMode%3D0</v>
      </c>
    </row>
    <row r="10" spans="1:6" ht="57.6" x14ac:dyDescent="0.3">
      <c r="A10" s="77" t="s">
        <v>556</v>
      </c>
      <c r="B10" s="80" t="s">
        <v>69</v>
      </c>
      <c r="C10" s="81" t="s">
        <v>66</v>
      </c>
      <c r="D10" s="7" t="str">
        <f>_xlfn.XLOOKUP(A10,'All Courses'!A:A,'All Courses'!D:D,"Not found")</f>
        <v>course</v>
      </c>
      <c r="E10" s="7" t="str">
        <f>_xlfn.XLOOKUP(A10,'OJT IDs'!A:A,'OJT IDs'!N:N,"Not found")</f>
        <v>IHG7376524-OJT</v>
      </c>
      <c r="F10" s="9" t="str">
        <f>_xlfn.XLOOKUP(E10,'OJT Links'!E:E,'OJT Links'!H:H,"Not found")</f>
        <v>https://mylearning.sumtotal.host/core/pillarRedirect?relyingParty=LM&amp;url=app%2Fmanagement%2FLMS_ActDetails.aspx%3FActivityId%3D468097%26UserMode%3D0</v>
      </c>
    </row>
    <row r="11" spans="1:6" ht="57.6" x14ac:dyDescent="0.3">
      <c r="A11" s="77" t="s">
        <v>73</v>
      </c>
      <c r="B11" s="80" t="s">
        <v>69</v>
      </c>
      <c r="C11" s="81" t="s">
        <v>66</v>
      </c>
      <c r="D11" s="7" t="str">
        <f>_xlfn.XLOOKUP(A11,'All Courses'!A:A,'All Courses'!D:D,"Not found")</f>
        <v>course</v>
      </c>
      <c r="E11" s="7" t="str">
        <f>_xlfn.XLOOKUP(A11,'OJT IDs'!A:A,'OJT IDs'!N:N,"Not found")</f>
        <v>IHG1227263-OJT</v>
      </c>
      <c r="F11" s="9" t="str">
        <f>_xlfn.XLOOKUP(E11,'OJT Links'!E:E,'OJT Links'!H:H,"Not found")</f>
        <v>https://mylearning.sumtotal.host/core/pillarRedirect?relyingParty=LM&amp;url=app%2Fmanagement%2FLMS_ActDetails.aspx%3FActivityId%3D595028%26UserMode%3D0</v>
      </c>
    </row>
    <row r="12" spans="1:6" ht="57.6" x14ac:dyDescent="0.3">
      <c r="A12" s="79" t="s">
        <v>458</v>
      </c>
      <c r="B12" s="80" t="s">
        <v>69</v>
      </c>
      <c r="C12" s="81" t="s">
        <v>66</v>
      </c>
      <c r="D12" s="7" t="str">
        <f>_xlfn.XLOOKUP(A12,'All Courses'!A:A,'All Courses'!D:D,"Not found")</f>
        <v>course</v>
      </c>
      <c r="E12" s="7" t="str">
        <f>_xlfn.XLOOKUP(A12,'OJT IDs'!A:A,'OJT IDs'!N:N,"Not found")</f>
        <v>IHG052185-OJT</v>
      </c>
      <c r="F12" s="9" t="str">
        <f>_xlfn.XLOOKUP(E12,'OJT Links'!E:E,'OJT Links'!H:H,"Not found")</f>
        <v>https://mylearning.sumtotal.host/core/pillarRedirect?relyingParty=LM&amp;url=app%2Fmanagement%2FLMS_ActDetails.aspx%3FActivityId%3D595029%26UserMode%3D0</v>
      </c>
    </row>
    <row r="13" spans="1:6" ht="28.8" x14ac:dyDescent="0.3">
      <c r="A13" s="76" t="s">
        <v>74</v>
      </c>
      <c r="B13" s="80" t="s">
        <v>58</v>
      </c>
      <c r="C13" s="81" t="s">
        <v>66</v>
      </c>
      <c r="D13" s="7" t="str">
        <f>_xlfn.XLOOKUP(A13,'All Courses'!A:A,'All Courses'!D:D,"Not found")</f>
        <v>course</v>
      </c>
      <c r="E13" s="7" t="str">
        <f>_xlfn.XLOOKUP(A13,'OJT IDs'!A:A,'OJT IDs'!N:N,"Not found")</f>
        <v>IHG0047625-OJT</v>
      </c>
      <c r="F13" s="9" t="str">
        <f>_xlfn.XLOOKUP(E13,'OJT Links'!E:E,'OJT Links'!H:H,"Not found")</f>
        <v>https://mylearning.sumtotal.host/core/pillarRedirect?relyingParty=LM&amp;url=app%2Fmanagement%2FLMS_ActDetails.aspx%3FActivityId%3D596770%26UserMode%3D0</v>
      </c>
    </row>
    <row r="14" spans="1:6" ht="57.6" x14ac:dyDescent="0.3">
      <c r="A14" s="76" t="s">
        <v>404</v>
      </c>
      <c r="B14" s="80" t="s">
        <v>69</v>
      </c>
      <c r="C14" s="81" t="s">
        <v>66</v>
      </c>
      <c r="D14" s="7" t="str">
        <f>_xlfn.XLOOKUP(A14,'All Courses'!A:A,'All Courses'!D:D,"Not found")</f>
        <v>course</v>
      </c>
      <c r="E14" s="7" t="str">
        <f>_xlfn.XLOOKUP(A14,'OJT IDs'!A:A,'OJT IDs'!N:N,"Not found")</f>
        <v>IHG0056403-OJT</v>
      </c>
      <c r="F14" s="9" t="str">
        <f>_xlfn.XLOOKUP(E14,'OJT Links'!E:E,'OJT Links'!H:H,"Not found")</f>
        <v>https://mylearning.sumtotal.host/core/pillarRedirect?relyingParty=LM&amp;url=app%2Fmanagement%2FLMS_ActDetails.aspx%3FActivityId%3D596772%26UserMode%3D0</v>
      </c>
    </row>
    <row r="15" spans="1:6" ht="28.8" x14ac:dyDescent="0.3">
      <c r="A15" s="76" t="s">
        <v>75</v>
      </c>
      <c r="B15" s="80" t="s">
        <v>76</v>
      </c>
      <c r="C15" s="81" t="s">
        <v>66</v>
      </c>
      <c r="D15" s="7" t="s">
        <v>77</v>
      </c>
      <c r="E15" s="7" t="str">
        <f>_xlfn.XLOOKUP(A15,'OJT IDs'!A:A,'OJT IDs'!N:N,"Not found")</f>
        <v>IHG0063363-OJT</v>
      </c>
      <c r="F15" s="9" t="str">
        <f>_xlfn.XLOOKUP(E15,'OJT Links'!E:E,'OJT Links'!H:H,"Not found")</f>
        <v>https://mylearning.sumtotal.host/core/pillarRedirect?relyingParty=LM&amp;url=app%2Fmanagement%2FLMS_ActDetails.aspx%3FActivityId%3D468098%26UserMode%3D0</v>
      </c>
    </row>
    <row r="16" spans="1:6" ht="57.6" x14ac:dyDescent="0.3">
      <c r="A16" s="77" t="s">
        <v>408</v>
      </c>
      <c r="B16" s="80" t="s">
        <v>69</v>
      </c>
      <c r="C16" s="83" t="s">
        <v>66</v>
      </c>
      <c r="D16" s="7" t="str">
        <f>_xlfn.XLOOKUP(A16,'All Courses'!A:A,'All Courses'!D:D,"Not found")</f>
        <v>course</v>
      </c>
      <c r="E16" s="7" t="str">
        <f>_xlfn.XLOOKUP(A16,'OJT IDs'!A:A,'OJT IDs'!N:N,"Not found")</f>
        <v>IHG0057043-v2024-OJT</v>
      </c>
      <c r="F16" s="9" t="str">
        <f>_xlfn.XLOOKUP(E16,'OJT Links'!E:E,'OJT Links'!H:H,"Not found")</f>
        <v>https://mylearning.sumtotal.host/core/pillarRedirect?relyingParty=LM&amp;url=app%2Fmanagement%2FLMS_ActDetails.aspx%3FActivityId%3D468091%26UserMode%3D0</v>
      </c>
    </row>
    <row r="17" spans="1:6" ht="86.4" x14ac:dyDescent="0.3">
      <c r="A17" s="76" t="s">
        <v>470</v>
      </c>
      <c r="B17" s="80" t="s">
        <v>69</v>
      </c>
      <c r="C17" s="84" t="s">
        <v>78</v>
      </c>
      <c r="D17" s="7" t="str">
        <f>_xlfn.XLOOKUP(A17,'All Courses'!A:A,'All Courses'!D:D,"Not found")</f>
        <v>course</v>
      </c>
      <c r="E17" s="7" t="str">
        <f>_xlfn.XLOOKUP(A17,'OJT IDs'!A:A,'OJT IDs'!N:N,"Not found")</f>
        <v>IHG056045-OJT</v>
      </c>
      <c r="F17" s="9" t="str">
        <f>_xlfn.XLOOKUP(E17,'OJT Links'!E:E,'OJT Links'!H:H,"Not found")</f>
        <v>https://mylearning.sumtotal.host/core/pillarRedirect?relyingParty=LM&amp;url=app%2Fmanagement%2FLMS_ActDetails.aspx%3FActivityId%3D468095%26UserMode%3D0</v>
      </c>
    </row>
    <row r="18" spans="1:6" ht="28.8" x14ac:dyDescent="0.3">
      <c r="A18" s="77" t="s">
        <v>79</v>
      </c>
      <c r="B18" s="76" t="s">
        <v>80</v>
      </c>
      <c r="C18" s="81" t="s">
        <v>66</v>
      </c>
      <c r="D18" s="7"/>
      <c r="E18" s="7" t="str">
        <f>_xlfn.XLOOKUP(A18,'OJT IDs'!A:A,'OJT IDs'!N:N,"Not found")</f>
        <v>IHG5969164-OJT</v>
      </c>
      <c r="F18" s="9" t="str">
        <f>_xlfn.XLOOKUP(E18,'OJT Links'!E:E,'OJT Links'!H:H,"Not found")</f>
        <v>https://mylearning.sumtotal.host/core/pillarRedirect?relyingParty=LM&amp;url=app%2Fmanagement%2FLMS_ActDetails.aspx%3FActivityId%3D602920%26UserMode%3D0</v>
      </c>
    </row>
    <row r="19" spans="1:6" ht="57.6" x14ac:dyDescent="0.3">
      <c r="A19" s="76" t="s">
        <v>81</v>
      </c>
      <c r="B19" s="80" t="s">
        <v>69</v>
      </c>
      <c r="C19" s="77"/>
      <c r="D19" s="7" t="str">
        <f>_xlfn.XLOOKUP(A19,'All Courses'!A:A,'All Courses'!D:D,"Not found")</f>
        <v>course</v>
      </c>
      <c r="E19" s="7" t="str">
        <f>_xlfn.XLOOKUP(A19,'OJT IDs'!A:A,'OJT IDs'!N:N,"Not found")</f>
        <v>IHG051263-OJT</v>
      </c>
      <c r="F19" s="9" t="str">
        <f>_xlfn.XLOOKUP(E19,'OJT Links'!E:E,'OJT Links'!H:H,"Not found")</f>
        <v>https://mylearning.sumtotal.host/core/pillarRedirect?relyingParty=LM&amp;url=app%2Fmanagement%2FLMS_ActDetails.aspx%3FActivityId%3D468089%26UserMode%3D0</v>
      </c>
    </row>
    <row r="20" spans="1:6" s="146" customFormat="1" ht="28.8" x14ac:dyDescent="0.3">
      <c r="A20" s="141" t="s">
        <v>82</v>
      </c>
      <c r="B20" s="142" t="s">
        <v>58</v>
      </c>
      <c r="C20" s="143" t="s">
        <v>66</v>
      </c>
      <c r="D20" s="144" t="str">
        <f>_xlfn.XLOOKUP(A20,'All Courses'!A:A,'All Courses'!D:D,"Not found")</f>
        <v>course</v>
      </c>
      <c r="E20" s="144" t="str">
        <f>_xlfn.XLOOKUP(A20,'OJT IDs'!A:A,'OJT IDs'!N:N,"Not found")</f>
        <v>IHG058044-OJT</v>
      </c>
      <c r="F20" s="145" t="str">
        <f>_xlfn.XLOOKUP(E20,'OJT Links'!E:E,'OJT Links'!H:H,"Not found")</f>
        <v>Not found</v>
      </c>
    </row>
    <row r="21" spans="1:6" ht="17.399999999999999" x14ac:dyDescent="0.3">
      <c r="A21" s="76" t="s">
        <v>83</v>
      </c>
      <c r="B21" s="80" t="s">
        <v>84</v>
      </c>
      <c r="C21" s="81" t="s">
        <v>66</v>
      </c>
      <c r="D21" s="77"/>
      <c r="E21" s="7" t="str">
        <f>_xlfn.XLOOKUP(A21,'OJT IDs'!A:A,'OJT IDs'!N:N,"Not found")</f>
        <v>IHG8342629-OJT</v>
      </c>
      <c r="F21" s="9" t="str">
        <f>_xlfn.XLOOKUP(E21,'OJT Links'!E:E,'OJT Links'!H:H,"Not found")</f>
        <v>https://mylearning.sumtotal.host/core/pillarRedirect?relyingParty=LM&amp;url=app%2Fmanagement%2FLMS_ActDetails.aspx%3FActivityId%3D603028%26UserMode%3D0</v>
      </c>
    </row>
    <row r="22" spans="1:6" x14ac:dyDescent="0.3">
      <c r="C22" s="85"/>
      <c r="D22" s="82"/>
    </row>
    <row r="23" spans="1:6" x14ac:dyDescent="0.3">
      <c r="D23" s="77"/>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F77536E4-56B8-479D-BBF0-25C10EAB5536}"/>
    <hyperlink ref="C5" r:id="rId2" display="https://me2.ihgmerlin.com/web/init-ihg-information-security/homeandhttps:/me2.ihgmerlin.com/web/init-pci-compliance" xr:uid="{0021F5A4-0947-4C85-91DF-6A712C2D96AC}"/>
    <hyperlink ref="C6" r:id="rId3" display="https://me2.ihgmerlin.com/web/responsible-business/colleague-health-safety-training" xr:uid="{8F864C09-DAC3-48B4-8E27-E6BDDFEC3741}"/>
    <hyperlink ref="C10" r:id="rId4"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0E352D8F-FEDC-4526-A64B-73A2CC03A37A}"/>
    <hyperlink ref="C11" r:id="rId5"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F5B1645B-6F1F-4320-9EF1-6CCBE8B56E5E}"/>
    <hyperlink ref="C12" r:id="rId6"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20ADB7EE-FCBB-4CE9-A233-498DCE7B8BFB}"/>
    <hyperlink ref="C13" r:id="rId7" display="https://mylearning.sumtotal.host/core/pillarRedirect?relyingParty=LM&amp;url=app%2Fmanagement%2FLMS_ActDetails.aspx%3FActivityId%3D6447%26UserMode%3D0" xr:uid="{11FB729F-FFF6-4D83-B273-0D1F8769D313}"/>
    <hyperlink ref="C14" r:id="rId8" display="https://mylearning.sumtotal.host/core/pillarRedirect?relyingParty=LM&amp;url=app%2Fmanagement%2FLMS_ActDetails.aspx%3FActivityId%3D564%26UserMode%3D0" xr:uid="{33FC0877-E1DF-4A8C-A8B9-ED3201F89C00}"/>
    <hyperlink ref="C15" r:id="rId9" display="https://mylearning.sumtotal.host/core/pillarRedirect?relyingParty=LM&amp;url=app%2Fmanagement%2FLMS_ActDetails.aspx%3FActivityId%3D3590%26UserMode%3D0" xr:uid="{5D3CCDE2-853A-49D7-981B-07E4BD13126A}"/>
    <hyperlink ref="C16" r:id="rId10" display="https://mylearning.sumtotal.host/core/pillarRedirect?relyingParty=LM&amp;url=app%2Fmanagement%2FLMS_ActDetails.aspx%3FActivityId%3D310951%26UserMode%3D0" xr:uid="{6A17F739-A7A7-4EF3-A9BF-59E1182EEABE}"/>
    <hyperlink ref="C17" r:id="rId11" display="https://mylearning.sumtotal.host/core/pillarRedirect?relyingParty=LM&amp;url=app%2Fmanagement%2FLMS_ActDetails.aspx%3FActivityId%3D310951%26UserMode%3D0" xr:uid="{084FC1D8-037F-455E-B3B4-9887EAE1AFEA}"/>
    <hyperlink ref="C18" r:id="rId12" display="https://mylearning.sumtotal.host/core/pillarRedirect?relyingParty=LM&amp;url=app%2Fmanagement%2FLMS_ActDetails.aspx%3FActivityId%3D21837%26UserMode%3D0" xr:uid="{FDEA4AE1-2A50-46F9-8DF9-B47537F40ABB}"/>
    <hyperlink ref="C20" r:id="rId13" display="https://mylearning.sumtotal.host/core/pillarRedirect?relyingParty=LM&amp;url=app%2Fmanagement%2FLMS_ActDetails.aspx%3FActivityId%3D10700%26UserMode%3D0" xr:uid="{AA26794F-DFAB-4BB1-A2B1-25EAFEA323EC}"/>
    <hyperlink ref="C21" r:id="rId14" display="https://mylearning.sumtotal.host/core/pillarRedirect?relyingParty=LM&amp;url=app%2Fmanagement%2FLMS_ActDetails.aspx%3FActivityId%3D10770%26UserMode%3D0" xr:uid="{B5FF0D0C-9E68-4765-965E-B4090DD9A755}"/>
  </hyperlinks>
  <pageMargins left="0.7" right="0.7" top="0.75" bottom="0.75" header="0.3" footer="0.3"/>
  <pageSetup paperSize="17"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8F9A5-B47D-45DB-837C-ED1ED87640DD}">
  <dimension ref="A1:F41"/>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tr">
        <f>_xlfn.XLOOKUP(A2,'OJT IDs'!A:A,'OJT IDs'!N:N,"Not found")</f>
        <v>IHG6321776-OJT</v>
      </c>
      <c r="F2" s="9" t="str">
        <f>_xlfn.XLOOKUP(E2,'OJT Links'!E:E,'OJT Links'!H:H,"Not found")</f>
        <v>https://mylearning.sumtotal.host/core/pillarRedirect?relyingParty=LM&amp;url=app%2Fmanagement%2FLMS_ActDetails.aspx%3FActivityId%3D601648%26UserMode%3D0</v>
      </c>
    </row>
    <row r="3" spans="1:6" ht="64.95" customHeight="1" x14ac:dyDescent="0.3">
      <c r="A3" s="10" t="s">
        <v>574</v>
      </c>
      <c r="B3" s="44" t="s">
        <v>58</v>
      </c>
      <c r="C3" s="12" t="s">
        <v>59</v>
      </c>
      <c r="D3" s="7" t="str">
        <f>_xlfn.XLOOKUP(A3,'All Courses'!A:A,'All Courses'!D:D,"Not found")</f>
        <v>course</v>
      </c>
      <c r="E3" s="7" t="str">
        <f>_xlfn.XLOOKUP(A3,'OJT IDs'!A:A,'OJT IDs'!N:N,"Not found")</f>
        <v>IHG0061303-OJT</v>
      </c>
      <c r="F3" s="9" t="str">
        <f>_xlfn.XLOOKUP(E3,'OJT Links'!E:E,'OJT Links'!H:H,"Not found")</f>
        <v>https://mylearning.sumtotal.host/core/pillarRedirect?relyingParty=LM&amp;url=app%2Fmanagement%2FLMS_ActDetails.aspx%3FActivityId%3D595005%26UserMode%3D0</v>
      </c>
    </row>
    <row r="4" spans="1:6" ht="64.95" customHeight="1" x14ac:dyDescent="0.3">
      <c r="A4" s="10" t="s">
        <v>60</v>
      </c>
      <c r="B4" s="10" t="s">
        <v>61</v>
      </c>
      <c r="C4" s="42"/>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s="146" customFormat="1" ht="100.8" x14ac:dyDescent="0.3">
      <c r="A5" s="128" t="s">
        <v>62</v>
      </c>
      <c r="B5" s="147" t="s">
        <v>58</v>
      </c>
      <c r="C5" s="143" t="s">
        <v>63</v>
      </c>
      <c r="D5" s="144" t="str">
        <f>_xlfn.XLOOKUP(A5,'All Courses'!A:A,'All Courses'!D:D,"Not found")</f>
        <v>Resource</v>
      </c>
      <c r="E5" s="144" t="str">
        <f>_xlfn.XLOOKUP(A5,'OJT IDs'!A:A,'OJT IDs'!N:N,"Not found")</f>
        <v>IHG0047626-OJT</v>
      </c>
      <c r="F5" s="145" t="str">
        <f>_xlfn.XLOOKUP(E5,'OJT Links'!E:E,'OJT Links'!H:H,"Not found")</f>
        <v>Not found</v>
      </c>
    </row>
    <row r="6" spans="1:6" ht="28.8" x14ac:dyDescent="0.3">
      <c r="A6" s="10" t="s">
        <v>64</v>
      </c>
      <c r="B6" s="10" t="s">
        <v>65</v>
      </c>
      <c r="C6" s="13" t="s">
        <v>66</v>
      </c>
      <c r="D6" s="7" t="str">
        <f>_xlfn.XLOOKUP(A6,'All Courses'!A:A,'All Courses'!D:D,"Not found")</f>
        <v>course</v>
      </c>
      <c r="E6" s="7" t="str">
        <f>_xlfn.XLOOKUP(A6,'OJT IDs'!A:A,'OJT IDs'!N:N,"Not found")</f>
        <v>IHG9191264-OJT</v>
      </c>
      <c r="F6" s="9" t="str">
        <f>_xlfn.XLOOKUP(E6,'OJT Links'!E:E,'OJT Links'!H:H,"Not found")</f>
        <v>https://mylearning.sumtotal.host/core/pillarRedirect?relyingParty=LM&amp;url=app%2Fmanagement%2FLMS_ActDetails.aspx%3FActivityId%3D601724%26UserMode%3D0</v>
      </c>
    </row>
    <row r="7" spans="1:6" ht="43.2" x14ac:dyDescent="0.3">
      <c r="A7" s="10" t="s">
        <v>67</v>
      </c>
      <c r="B7" s="10" t="s">
        <v>68</v>
      </c>
      <c r="C7" s="42"/>
      <c r="D7" s="7"/>
      <c r="E7" s="7" t="str">
        <f>_xlfn.XLOOKUP(A7,'OJT IDs'!A:A,'OJT IDs'!N:N,"Not found")</f>
        <v>IHG8611503-OJT</v>
      </c>
      <c r="F7" s="9" t="str">
        <f>_xlfn.XLOOKUP(E7,'OJT Links'!E:E,'OJT Links'!H:H,"Not found")</f>
        <v>https://mylearning.sumtotal.host/core/pillarRedirect?relyingParty=LM&amp;url=app%2Fmanagement%2FLMS_ActDetails.aspx%3FActivityId%3D601740%26UserMode%3D0</v>
      </c>
    </row>
    <row r="8" spans="1:6" ht="115.2" x14ac:dyDescent="0.3">
      <c r="A8" s="10" t="s">
        <v>399</v>
      </c>
      <c r="B8" s="44" t="s">
        <v>69</v>
      </c>
      <c r="C8" s="42" t="s">
        <v>70</v>
      </c>
      <c r="D8" s="7" t="str">
        <f>_xlfn.XLOOKUP(A8,'All Courses'!A:A,'All Courses'!D:D,"Not found")</f>
        <v>course</v>
      </c>
      <c r="E8" s="7" t="str">
        <f>_xlfn.XLOOKUP(A8,'OJT IDs'!A:A,'OJT IDs'!N:N,"Not found")</f>
        <v>IHG0049491-OJT</v>
      </c>
      <c r="F8" s="9" t="str">
        <f>_xlfn.XLOOKUP(E8,'OJT Links'!E:E,'OJT Links'!H:H,"Not found")</f>
        <v>https://mylearning.sumtotal.host/core/pillarRedirect?relyingParty=LM&amp;url=app%2Fmanagement%2FLMS_ActDetails.aspx%3FActivityId%3D595027%26UserMode%3D0</v>
      </c>
    </row>
    <row r="9" spans="1:6" ht="115.2" x14ac:dyDescent="0.3">
      <c r="A9" s="10" t="s">
        <v>71</v>
      </c>
      <c r="B9" s="44" t="s">
        <v>58</v>
      </c>
      <c r="C9" s="43" t="s">
        <v>72</v>
      </c>
      <c r="D9" s="7" t="str">
        <f>_xlfn.XLOOKUP(A9,'All Courses'!A:A,'All Courses'!D:D,"Not found")</f>
        <v>course</v>
      </c>
      <c r="E9" s="7" t="str">
        <f>_xlfn.XLOOKUP(A9,'OJT IDs'!A:A,'OJT IDs'!N:N,"Not found")</f>
        <v>IHG0054667-OJT</v>
      </c>
      <c r="F9" s="9" t="str">
        <f>_xlfn.XLOOKUP(E9,'OJT Links'!E:E,'OJT Links'!H:H,"Not found")</f>
        <v>https://mylearning.sumtotal.host/core/pillarRedirect?relyingParty=LM&amp;url=app%2Fmanagement%2FLMS_ActDetails.aspx%3FActivityId%3D595030%26UserMode%3D0</v>
      </c>
    </row>
    <row r="10" spans="1:6" ht="57.6" x14ac:dyDescent="0.3">
      <c r="A10" s="10" t="s">
        <v>556</v>
      </c>
      <c r="B10" s="44" t="s">
        <v>69</v>
      </c>
      <c r="C10" s="13" t="s">
        <v>66</v>
      </c>
      <c r="D10" s="7" t="str">
        <f>_xlfn.XLOOKUP(A10,'All Courses'!A:A,'All Courses'!D:D,"Not found")</f>
        <v>course</v>
      </c>
      <c r="E10" s="7" t="str">
        <f>_xlfn.XLOOKUP(A10,'OJT IDs'!A:A,'OJT IDs'!N:N,"Not found")</f>
        <v>IHG7376524-OJT</v>
      </c>
      <c r="F10" s="9" t="str">
        <f>_xlfn.XLOOKUP(E10,'OJT Links'!E:E,'OJT Links'!H:H,"Not found")</f>
        <v>https://mylearning.sumtotal.host/core/pillarRedirect?relyingParty=LM&amp;url=app%2Fmanagement%2FLMS_ActDetails.aspx%3FActivityId%3D468097%26UserMode%3D0</v>
      </c>
    </row>
    <row r="11" spans="1:6" ht="57.6" x14ac:dyDescent="0.3">
      <c r="A11" s="10" t="s">
        <v>73</v>
      </c>
      <c r="B11" s="44" t="s">
        <v>69</v>
      </c>
      <c r="C11" s="13" t="s">
        <v>66</v>
      </c>
      <c r="D11" s="7" t="str">
        <f>_xlfn.XLOOKUP(A11,'All Courses'!A:A,'All Courses'!D:D,"Not found")</f>
        <v>course</v>
      </c>
      <c r="E11" s="7" t="str">
        <f>_xlfn.XLOOKUP(A11,'OJT IDs'!A:A,'OJT IDs'!N:N,"Not found")</f>
        <v>IHG1227263-OJT</v>
      </c>
      <c r="F11" s="9" t="str">
        <f>_xlfn.XLOOKUP(E11,'OJT Links'!E:E,'OJT Links'!H:H,"Not found")</f>
        <v>https://mylearning.sumtotal.host/core/pillarRedirect?relyingParty=LM&amp;url=app%2Fmanagement%2FLMS_ActDetails.aspx%3FActivityId%3D595028%26UserMode%3D0</v>
      </c>
    </row>
    <row r="12" spans="1:6" ht="57.6" x14ac:dyDescent="0.3">
      <c r="A12" s="11" t="s">
        <v>458</v>
      </c>
      <c r="B12" s="44" t="s">
        <v>69</v>
      </c>
      <c r="C12" s="13" t="s">
        <v>66</v>
      </c>
      <c r="D12" s="7" t="str">
        <f>_xlfn.XLOOKUP(A12,'All Courses'!A:A,'All Courses'!D:D,"Not found")</f>
        <v>course</v>
      </c>
      <c r="E12" s="7" t="str">
        <f>_xlfn.XLOOKUP(A12,'OJT IDs'!A:A,'OJT IDs'!N:N,"Not found")</f>
        <v>IHG052185-OJT</v>
      </c>
      <c r="F12" s="9" t="str">
        <f>_xlfn.XLOOKUP(E12,'OJT Links'!E:E,'OJT Links'!H:H,"Not found")</f>
        <v>https://mylearning.sumtotal.host/core/pillarRedirect?relyingParty=LM&amp;url=app%2Fmanagement%2FLMS_ActDetails.aspx%3FActivityId%3D595029%26UserMode%3D0</v>
      </c>
    </row>
    <row r="13" spans="1:6" ht="28.8" x14ac:dyDescent="0.3">
      <c r="A13" s="10" t="s">
        <v>74</v>
      </c>
      <c r="B13" s="44" t="s">
        <v>58</v>
      </c>
      <c r="C13" s="13" t="s">
        <v>66</v>
      </c>
      <c r="D13" s="7" t="str">
        <f>_xlfn.XLOOKUP(A13,'All Courses'!A:A,'All Courses'!D:D,"Not found")</f>
        <v>course</v>
      </c>
      <c r="E13" s="7" t="str">
        <f>_xlfn.XLOOKUP(A13,'OJT IDs'!A:A,'OJT IDs'!N:N,"Not found")</f>
        <v>IHG0047625-OJT</v>
      </c>
      <c r="F13" s="9" t="str">
        <f>_xlfn.XLOOKUP(E13,'OJT Links'!E:E,'OJT Links'!H:H,"Not found")</f>
        <v>https://mylearning.sumtotal.host/core/pillarRedirect?relyingParty=LM&amp;url=app%2Fmanagement%2FLMS_ActDetails.aspx%3FActivityId%3D596770%26UserMode%3D0</v>
      </c>
    </row>
    <row r="14" spans="1:6" ht="57.6" x14ac:dyDescent="0.3">
      <c r="A14" s="10" t="s">
        <v>404</v>
      </c>
      <c r="B14" s="44" t="s">
        <v>69</v>
      </c>
      <c r="C14" s="13" t="s">
        <v>66</v>
      </c>
      <c r="D14" s="7" t="str">
        <f>_xlfn.XLOOKUP(A14,'All Courses'!A:A,'All Courses'!D:D,"Not found")</f>
        <v>course</v>
      </c>
      <c r="E14" s="7" t="str">
        <f>_xlfn.XLOOKUP(A14,'OJT IDs'!A:A,'OJT IDs'!N:N,"Not found")</f>
        <v>IHG0056403-OJT</v>
      </c>
      <c r="F14" s="9" t="str">
        <f>_xlfn.XLOOKUP(E14,'OJT Links'!E:E,'OJT Links'!H:H,"Not found")</f>
        <v>https://mylearning.sumtotal.host/core/pillarRedirect?relyingParty=LM&amp;url=app%2Fmanagement%2FLMS_ActDetails.aspx%3FActivityId%3D596772%26UserMode%3D0</v>
      </c>
    </row>
    <row r="15" spans="1:6" ht="28.8" x14ac:dyDescent="0.3">
      <c r="A15" s="10" t="s">
        <v>75</v>
      </c>
      <c r="B15" s="44" t="s">
        <v>76</v>
      </c>
      <c r="C15" s="13" t="s">
        <v>66</v>
      </c>
      <c r="D15" s="7" t="s">
        <v>77</v>
      </c>
      <c r="E15" s="7" t="str">
        <f>_xlfn.XLOOKUP(A15,'OJT IDs'!A:A,'OJT IDs'!N:N,"Not found")</f>
        <v>IHG0063363-OJT</v>
      </c>
      <c r="F15" s="9" t="str">
        <f>_xlfn.XLOOKUP(E15,'OJT Links'!E:E,'OJT Links'!H:H,"Not found")</f>
        <v>https://mylearning.sumtotal.host/core/pillarRedirect?relyingParty=LM&amp;url=app%2Fmanagement%2FLMS_ActDetails.aspx%3FActivityId%3D468098%26UserMode%3D0</v>
      </c>
    </row>
    <row r="16" spans="1:6" ht="100.8" x14ac:dyDescent="0.3">
      <c r="A16" s="10" t="s">
        <v>408</v>
      </c>
      <c r="B16" s="44" t="s">
        <v>69</v>
      </c>
      <c r="C16" s="13" t="s">
        <v>85</v>
      </c>
      <c r="D16" s="7" t="str">
        <f>_xlfn.XLOOKUP(A16,'All Courses'!A:A,'All Courses'!D:D,"Not found")</f>
        <v>course</v>
      </c>
      <c r="E16" s="7" t="str">
        <f>_xlfn.XLOOKUP(A16,'OJT IDs'!A:A,'OJT IDs'!N:N,"Not found")</f>
        <v>IHG0057043-v2024-OJT</v>
      </c>
      <c r="F16" s="9" t="str">
        <f>_xlfn.XLOOKUP(E16,'OJT Links'!E:E,'OJT Links'!H:H,"Not found")</f>
        <v>https://mylearning.sumtotal.host/core/pillarRedirect?relyingParty=LM&amp;url=app%2Fmanagement%2FLMS_ActDetails.aspx%3FActivityId%3D468091%26UserMode%3D0</v>
      </c>
    </row>
    <row r="17" spans="1:6" ht="57.6" x14ac:dyDescent="0.3">
      <c r="A17" s="10" t="s">
        <v>470</v>
      </c>
      <c r="B17" s="44" t="s">
        <v>69</v>
      </c>
      <c r="C17" s="13" t="s">
        <v>66</v>
      </c>
      <c r="D17" s="7" t="str">
        <f>_xlfn.XLOOKUP(A17,'All Courses'!A:A,'All Courses'!D:D,"Not found")</f>
        <v>course</v>
      </c>
      <c r="E17" s="7" t="str">
        <f>_xlfn.XLOOKUP(A17,'OJT IDs'!A:A,'OJT IDs'!N:N,"Not found")</f>
        <v>IHG056045-OJT</v>
      </c>
      <c r="F17" s="9" t="str">
        <f>_xlfn.XLOOKUP(E17,'OJT Links'!E:E,'OJT Links'!H:H,"Not found")</f>
        <v>https://mylearning.sumtotal.host/core/pillarRedirect?relyingParty=LM&amp;url=app%2Fmanagement%2FLMS_ActDetails.aspx%3FActivityId%3D468095%26UserMode%3D0</v>
      </c>
    </row>
    <row r="18" spans="1:6" ht="28.8" x14ac:dyDescent="0.3">
      <c r="A18" s="10" t="s">
        <v>79</v>
      </c>
      <c r="B18" s="10" t="s">
        <v>80</v>
      </c>
      <c r="C18" s="42"/>
      <c r="D18" s="7"/>
      <c r="E18" s="7" t="str">
        <f>_xlfn.XLOOKUP(A18,'OJT IDs'!A:A,'OJT IDs'!N:N,"Not found")</f>
        <v>IHG5969164-OJT</v>
      </c>
      <c r="F18" s="9" t="str">
        <f>_xlfn.XLOOKUP(E18,'OJT Links'!E:E,'OJT Links'!H:H,"Not found")</f>
        <v>https://mylearning.sumtotal.host/core/pillarRedirect?relyingParty=LM&amp;url=app%2Fmanagement%2FLMS_ActDetails.aspx%3FActivityId%3D602920%26UserMode%3D0</v>
      </c>
    </row>
    <row r="19" spans="1:6" ht="57.6" x14ac:dyDescent="0.3">
      <c r="A19" s="10" t="s">
        <v>81</v>
      </c>
      <c r="B19" s="44" t="s">
        <v>69</v>
      </c>
      <c r="C19" s="13" t="s">
        <v>66</v>
      </c>
      <c r="D19" s="7" t="str">
        <f>_xlfn.XLOOKUP(A19,'All Courses'!A:A,'All Courses'!D:D,"Not found")</f>
        <v>course</v>
      </c>
      <c r="E19" s="7" t="str">
        <f>_xlfn.XLOOKUP(A19,'OJT IDs'!A:A,'OJT IDs'!N:N,"Not found")</f>
        <v>IHG051263-OJT</v>
      </c>
      <c r="F19" s="9" t="str">
        <f>_xlfn.XLOOKUP(E19,'OJT Links'!E:E,'OJT Links'!H:H,"Not found")</f>
        <v>https://mylearning.sumtotal.host/core/pillarRedirect?relyingParty=LM&amp;url=app%2Fmanagement%2FLMS_ActDetails.aspx%3FActivityId%3D468089%26UserMode%3D0</v>
      </c>
    </row>
    <row r="20" spans="1:6" s="146" customFormat="1" ht="28.8" x14ac:dyDescent="0.3">
      <c r="A20" s="128" t="s">
        <v>82</v>
      </c>
      <c r="B20" s="147" t="s">
        <v>58</v>
      </c>
      <c r="C20" s="143" t="s">
        <v>66</v>
      </c>
      <c r="D20" s="144" t="str">
        <f>_xlfn.XLOOKUP(A20,'All Courses'!A:A,'All Courses'!D:D,"Not found")</f>
        <v>course</v>
      </c>
      <c r="E20" s="144" t="str">
        <f>_xlfn.XLOOKUP(A20,'OJT IDs'!A:A,'OJT IDs'!N:N,"Not found")</f>
        <v>IHG058044-OJT</v>
      </c>
      <c r="F20" s="145" t="str">
        <f>_xlfn.XLOOKUP(E20,'OJT Links'!E:E,'OJT Links'!H:H,"Not found")</f>
        <v>Not found</v>
      </c>
    </row>
    <row r="21" spans="1:6" ht="17.399999999999999" x14ac:dyDescent="0.3">
      <c r="A21" s="10" t="s">
        <v>83</v>
      </c>
      <c r="B21" s="44" t="s">
        <v>84</v>
      </c>
      <c r="C21" s="42"/>
      <c r="D21" s="7"/>
      <c r="E21" s="7" t="str">
        <f>_xlfn.XLOOKUP(A21,'OJT IDs'!A:A,'OJT IDs'!N:N,"Not found")</f>
        <v>IHG8342629-OJT</v>
      </c>
      <c r="F21" s="9" t="str">
        <f>_xlfn.XLOOKUP(E21,'OJT Links'!E:E,'OJT Links'!H:H,"Not found")</f>
        <v>https://mylearning.sumtotal.host/core/pillarRedirect?relyingParty=LM&amp;url=app%2Fmanagement%2FLMS_ActDetails.aspx%3FActivityId%3D603028%26UserMode%3D0</v>
      </c>
    </row>
    <row r="22" spans="1:6" ht="115.2" x14ac:dyDescent="0.3">
      <c r="A22" s="86" t="s">
        <v>86</v>
      </c>
      <c r="B22" s="44" t="s">
        <v>69</v>
      </c>
      <c r="C22" s="42" t="s">
        <v>87</v>
      </c>
      <c r="D22" s="7" t="s">
        <v>77</v>
      </c>
      <c r="E22" s="7" t="str">
        <f>_xlfn.XLOOKUP(A22,'OJT IDs'!A:A,'OJT IDs'!N:N,"Not found")</f>
        <v>IHG051925-OJT</v>
      </c>
      <c r="F22" s="9" t="str">
        <f>_xlfn.XLOOKUP(E22,'OJT Links'!E:E,'OJT Links'!H:H,"Not found")</f>
        <v>https://mylearning.sumtotal.host/core/pillarRedirect?relyingParty=LM&amp;url=app%2Fmanagement%2FLMS_ActDetails.aspx%3FActivityId%3D595031%26UserMode%3D0</v>
      </c>
    </row>
    <row r="23" spans="1:6" x14ac:dyDescent="0.3">
      <c r="C23" s="77"/>
      <c r="D23" s="77"/>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2874FDFE-7BF9-4457-A1F5-9855674AE3DD}"/>
    <hyperlink ref="C6" r:id="rId2" xr:uid="{B7B4D76C-AA43-4A73-970E-B7F52266823C}"/>
    <hyperlink ref="C5" r:id="rId3" xr:uid="{5F0E867B-7C77-40A5-B9DF-ED679BAEA3FE}"/>
    <hyperlink ref="C11" r:id="rId4" xr:uid="{462681CB-8253-4572-B637-1626389314F2}"/>
    <hyperlink ref="C12" r:id="rId5" xr:uid="{6AE8C9EC-C87E-4C1E-8A41-436977A5A50A}"/>
    <hyperlink ref="C10" r:id="rId6" xr:uid="{EFF9DD6E-A2BF-4E63-A5F0-FD46527B9F44}"/>
    <hyperlink ref="C15" r:id="rId7" xr:uid="{D5226F04-3775-4C3D-BEEF-ECD75EC02DA6}"/>
    <hyperlink ref="C16" r:id="rId8" display="Link" xr:uid="{7923C2CE-891F-4DFF-8594-4D1856AC0091}"/>
    <hyperlink ref="C17" r:id="rId9" xr:uid="{DB5CA9AD-CDE5-4DB3-9E0F-3BBEBAEA021A}"/>
    <hyperlink ref="C13" r:id="rId10" xr:uid="{413BCB21-4803-440F-AECA-20ADA9AB1430}"/>
    <hyperlink ref="C14" r:id="rId11" xr:uid="{0C445764-0E48-440A-8D1D-880668168229}"/>
    <hyperlink ref="C19" r:id="rId12" xr:uid="{4AF823B6-75CD-453B-8154-40F99FE8C4DE}"/>
    <hyperlink ref="C20" r:id="rId13" xr:uid="{2CCED819-3812-4E58-B9E9-029604AAC930}"/>
  </hyperlinks>
  <pageMargins left="0.7" right="0.7" top="0.75" bottom="0.75" header="0.3" footer="0.3"/>
  <pageSetup paperSize="17"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60EC-99E4-47B6-9A34-B02C537463AA}">
  <dimension ref="A1:F41"/>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tr">
        <f>_xlfn.XLOOKUP(A2,'OJT IDs'!A:A,'OJT IDs'!N:N,"Not found")</f>
        <v>IHG6321776-OJT</v>
      </c>
      <c r="F2" s="9" t="str">
        <f>_xlfn.XLOOKUP(E2,'OJT Links'!E:E,'OJT Links'!H:H,"Not found")</f>
        <v>https://mylearning.sumtotal.host/core/pillarRedirect?relyingParty=LM&amp;url=app%2Fmanagement%2FLMS_ActDetails.aspx%3FActivityId%3D601648%26UserMode%3D0</v>
      </c>
    </row>
    <row r="3" spans="1:6" ht="64.95" customHeight="1" x14ac:dyDescent="0.3">
      <c r="A3" s="10" t="s">
        <v>574</v>
      </c>
      <c r="B3" s="44" t="s">
        <v>58</v>
      </c>
      <c r="C3" s="12" t="s">
        <v>59</v>
      </c>
      <c r="D3" s="7" t="str">
        <f>_xlfn.XLOOKUP(A3,'All Courses'!A:A,'All Courses'!D:D,"Not found")</f>
        <v>course</v>
      </c>
      <c r="E3" s="7" t="str">
        <f>_xlfn.XLOOKUP(A3,'OJT IDs'!A:A,'OJT IDs'!N:N,"Not found")</f>
        <v>IHG0061303-OJT</v>
      </c>
      <c r="F3" s="9" t="str">
        <f>_xlfn.XLOOKUP(E3,'OJT Links'!E:E,'OJT Links'!H:H,"Not found")</f>
        <v>https://mylearning.sumtotal.host/core/pillarRedirect?relyingParty=LM&amp;url=app%2Fmanagement%2FLMS_ActDetails.aspx%3FActivityId%3D595005%26UserMode%3D0</v>
      </c>
    </row>
    <row r="4" spans="1:6" ht="64.95" customHeight="1" x14ac:dyDescent="0.3">
      <c r="A4" s="10" t="s">
        <v>60</v>
      </c>
      <c r="B4" s="10" t="s">
        <v>61</v>
      </c>
      <c r="C4" s="42"/>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s="146" customFormat="1" ht="100.8" x14ac:dyDescent="0.3">
      <c r="A5" s="128" t="s">
        <v>62</v>
      </c>
      <c r="B5" s="147" t="s">
        <v>58</v>
      </c>
      <c r="C5" s="143" t="s">
        <v>63</v>
      </c>
      <c r="D5" s="144" t="str">
        <f>_xlfn.XLOOKUP(A5,'All Courses'!A:A,'All Courses'!D:D,"Not found")</f>
        <v>Resource</v>
      </c>
      <c r="E5" s="144" t="str">
        <f>_xlfn.XLOOKUP(A5,'OJT IDs'!A:A,'OJT IDs'!N:N,"Not found")</f>
        <v>IHG0047626-OJT</v>
      </c>
      <c r="F5" s="145" t="str">
        <f>_xlfn.XLOOKUP(E5,'OJT Links'!E:E,'OJT Links'!H:H,"Not found")</f>
        <v>Not found</v>
      </c>
    </row>
    <row r="6" spans="1:6" ht="28.8" x14ac:dyDescent="0.3">
      <c r="A6" s="10" t="s">
        <v>64</v>
      </c>
      <c r="B6" s="10" t="s">
        <v>65</v>
      </c>
      <c r="C6" s="13" t="s">
        <v>66</v>
      </c>
      <c r="D6" s="7" t="str">
        <f>_xlfn.XLOOKUP(A6,'All Courses'!A:A,'All Courses'!D:D,"Not found")</f>
        <v>course</v>
      </c>
      <c r="E6" s="7" t="str">
        <f>_xlfn.XLOOKUP(A6,'OJT IDs'!A:A,'OJT IDs'!N:N,"Not found")</f>
        <v>IHG9191264-OJT</v>
      </c>
      <c r="F6" s="9" t="str">
        <f>_xlfn.XLOOKUP(E6,'OJT Links'!E:E,'OJT Links'!H:H,"Not found")</f>
        <v>https://mylearning.sumtotal.host/core/pillarRedirect?relyingParty=LM&amp;url=app%2Fmanagement%2FLMS_ActDetails.aspx%3FActivityId%3D601724%26UserMode%3D0</v>
      </c>
    </row>
    <row r="7" spans="1:6" ht="43.2" x14ac:dyDescent="0.3">
      <c r="A7" s="10" t="s">
        <v>67</v>
      </c>
      <c r="B7" s="10" t="s">
        <v>68</v>
      </c>
      <c r="C7" s="42"/>
      <c r="D7" s="7"/>
      <c r="E7" s="7" t="str">
        <f>_xlfn.XLOOKUP(A7,'OJT IDs'!A:A,'OJT IDs'!N:N,"Not found")</f>
        <v>IHG8611503-OJT</v>
      </c>
      <c r="F7" s="9" t="str">
        <f>_xlfn.XLOOKUP(E7,'OJT Links'!E:E,'OJT Links'!H:H,"Not found")</f>
        <v>https://mylearning.sumtotal.host/core/pillarRedirect?relyingParty=LM&amp;url=app%2Fmanagement%2FLMS_ActDetails.aspx%3FActivityId%3D601740%26UserMode%3D0</v>
      </c>
    </row>
    <row r="8" spans="1:6" ht="115.2" x14ac:dyDescent="0.3">
      <c r="A8" s="10" t="s">
        <v>399</v>
      </c>
      <c r="B8" s="44" t="s">
        <v>69</v>
      </c>
      <c r="C8" s="42" t="s">
        <v>70</v>
      </c>
      <c r="D8" s="7" t="str">
        <f>_xlfn.XLOOKUP(A8,'All Courses'!A:A,'All Courses'!D:D,"Not found")</f>
        <v>course</v>
      </c>
      <c r="E8" s="7" t="str">
        <f>_xlfn.XLOOKUP(A8,'OJT IDs'!A:A,'OJT IDs'!N:N,"Not found")</f>
        <v>IHG0049491-OJT</v>
      </c>
      <c r="F8" s="9" t="str">
        <f>_xlfn.XLOOKUP(E8,'OJT Links'!E:E,'OJT Links'!H:H,"Not found")</f>
        <v>https://mylearning.sumtotal.host/core/pillarRedirect?relyingParty=LM&amp;url=app%2Fmanagement%2FLMS_ActDetails.aspx%3FActivityId%3D595027%26UserMode%3D0</v>
      </c>
    </row>
    <row r="9" spans="1:6" ht="115.2" x14ac:dyDescent="0.3">
      <c r="A9" s="10" t="s">
        <v>71</v>
      </c>
      <c r="B9" s="44" t="s">
        <v>58</v>
      </c>
      <c r="C9" s="43" t="s">
        <v>72</v>
      </c>
      <c r="D9" s="7" t="str">
        <f>_xlfn.XLOOKUP(A9,'All Courses'!A:A,'All Courses'!D:D,"Not found")</f>
        <v>course</v>
      </c>
      <c r="E9" s="7" t="str">
        <f>_xlfn.XLOOKUP(A9,'OJT IDs'!A:A,'OJT IDs'!N:N,"Not found")</f>
        <v>IHG0054667-OJT</v>
      </c>
      <c r="F9" s="9" t="str">
        <f>_xlfn.XLOOKUP(E9,'OJT Links'!E:E,'OJT Links'!H:H,"Not found")</f>
        <v>https://mylearning.sumtotal.host/core/pillarRedirect?relyingParty=LM&amp;url=app%2Fmanagement%2FLMS_ActDetails.aspx%3FActivityId%3D595030%26UserMode%3D0</v>
      </c>
    </row>
    <row r="10" spans="1:6" ht="57.6" x14ac:dyDescent="0.3">
      <c r="A10" s="10" t="s">
        <v>556</v>
      </c>
      <c r="B10" s="44" t="s">
        <v>69</v>
      </c>
      <c r="C10" s="13" t="s">
        <v>66</v>
      </c>
      <c r="D10" s="7" t="str">
        <f>_xlfn.XLOOKUP(A10,'All Courses'!A:A,'All Courses'!D:D,"Not found")</f>
        <v>course</v>
      </c>
      <c r="E10" s="7" t="str">
        <f>_xlfn.XLOOKUP(A10,'OJT IDs'!A:A,'OJT IDs'!N:N,"Not found")</f>
        <v>IHG7376524-OJT</v>
      </c>
      <c r="F10" s="9" t="str">
        <f>_xlfn.XLOOKUP(E10,'OJT Links'!E:E,'OJT Links'!H:H,"Not found")</f>
        <v>https://mylearning.sumtotal.host/core/pillarRedirect?relyingParty=LM&amp;url=app%2Fmanagement%2FLMS_ActDetails.aspx%3FActivityId%3D468097%26UserMode%3D0</v>
      </c>
    </row>
    <row r="11" spans="1:6" ht="57.6" x14ac:dyDescent="0.3">
      <c r="A11" s="10" t="s">
        <v>73</v>
      </c>
      <c r="B11" s="44" t="s">
        <v>69</v>
      </c>
      <c r="C11" s="13" t="s">
        <v>66</v>
      </c>
      <c r="D11" s="7" t="str">
        <f>_xlfn.XLOOKUP(A11,'All Courses'!A:A,'All Courses'!D:D,"Not found")</f>
        <v>course</v>
      </c>
      <c r="E11" s="7" t="str">
        <f>_xlfn.XLOOKUP(A11,'OJT IDs'!A:A,'OJT IDs'!N:N,"Not found")</f>
        <v>IHG1227263-OJT</v>
      </c>
      <c r="F11" s="9" t="str">
        <f>_xlfn.XLOOKUP(E11,'OJT Links'!E:E,'OJT Links'!H:H,"Not found")</f>
        <v>https://mylearning.sumtotal.host/core/pillarRedirect?relyingParty=LM&amp;url=app%2Fmanagement%2FLMS_ActDetails.aspx%3FActivityId%3D595028%26UserMode%3D0</v>
      </c>
    </row>
    <row r="12" spans="1:6" ht="57.6" x14ac:dyDescent="0.3">
      <c r="A12" s="11" t="s">
        <v>458</v>
      </c>
      <c r="B12" s="44" t="s">
        <v>69</v>
      </c>
      <c r="C12" s="13" t="s">
        <v>66</v>
      </c>
      <c r="D12" s="7" t="str">
        <f>_xlfn.XLOOKUP(A12,'All Courses'!A:A,'All Courses'!D:D,"Not found")</f>
        <v>course</v>
      </c>
      <c r="E12" s="7" t="str">
        <f>_xlfn.XLOOKUP(A12,'OJT IDs'!A:A,'OJT IDs'!N:N,"Not found")</f>
        <v>IHG052185-OJT</v>
      </c>
      <c r="F12" s="9" t="str">
        <f>_xlfn.XLOOKUP(E12,'OJT Links'!E:E,'OJT Links'!H:H,"Not found")</f>
        <v>https://mylearning.sumtotal.host/core/pillarRedirect?relyingParty=LM&amp;url=app%2Fmanagement%2FLMS_ActDetails.aspx%3FActivityId%3D595029%26UserMode%3D0</v>
      </c>
    </row>
    <row r="13" spans="1:6" ht="28.8" x14ac:dyDescent="0.3">
      <c r="A13" s="10" t="s">
        <v>74</v>
      </c>
      <c r="B13" s="44" t="s">
        <v>58</v>
      </c>
      <c r="C13" s="13" t="s">
        <v>66</v>
      </c>
      <c r="D13" s="7" t="str">
        <f>_xlfn.XLOOKUP(A13,'All Courses'!A:A,'All Courses'!D:D,"Not found")</f>
        <v>course</v>
      </c>
      <c r="E13" s="7" t="str">
        <f>_xlfn.XLOOKUP(A13,'OJT IDs'!A:A,'OJT IDs'!N:N,"Not found")</f>
        <v>IHG0047625-OJT</v>
      </c>
      <c r="F13" s="9" t="str">
        <f>_xlfn.XLOOKUP(E13,'OJT Links'!E:E,'OJT Links'!H:H,"Not found")</f>
        <v>https://mylearning.sumtotal.host/core/pillarRedirect?relyingParty=LM&amp;url=app%2Fmanagement%2FLMS_ActDetails.aspx%3FActivityId%3D596770%26UserMode%3D0</v>
      </c>
    </row>
    <row r="14" spans="1:6" ht="57.6" x14ac:dyDescent="0.3">
      <c r="A14" s="10" t="s">
        <v>404</v>
      </c>
      <c r="B14" s="44" t="s">
        <v>69</v>
      </c>
      <c r="C14" s="13" t="s">
        <v>66</v>
      </c>
      <c r="D14" s="7" t="str">
        <f>_xlfn.XLOOKUP(A14,'All Courses'!A:A,'All Courses'!D:D,"Not found")</f>
        <v>course</v>
      </c>
      <c r="E14" s="7" t="str">
        <f>_xlfn.XLOOKUP(A14,'OJT IDs'!A:A,'OJT IDs'!N:N,"Not found")</f>
        <v>IHG0056403-OJT</v>
      </c>
      <c r="F14" s="9" t="str">
        <f>_xlfn.XLOOKUP(E14,'OJT Links'!E:E,'OJT Links'!H:H,"Not found")</f>
        <v>https://mylearning.sumtotal.host/core/pillarRedirect?relyingParty=LM&amp;url=app%2Fmanagement%2FLMS_ActDetails.aspx%3FActivityId%3D596772%26UserMode%3D0</v>
      </c>
    </row>
    <row r="15" spans="1:6" ht="28.8" x14ac:dyDescent="0.3">
      <c r="A15" s="10" t="s">
        <v>75</v>
      </c>
      <c r="B15" s="44" t="s">
        <v>76</v>
      </c>
      <c r="C15" s="13" t="s">
        <v>66</v>
      </c>
      <c r="D15" s="7" t="str">
        <f>_xlfn.XLOOKUP(A15,'All Courses'!A:A,'All Courses'!D:D,"Not found")</f>
        <v>Course</v>
      </c>
      <c r="E15" s="7" t="str">
        <f>_xlfn.XLOOKUP(A15,'OJT IDs'!A:A,'OJT IDs'!N:N,"Not found")</f>
        <v>IHG0063363-OJT</v>
      </c>
      <c r="F15" s="9" t="str">
        <f>_xlfn.XLOOKUP(E15,'OJT Links'!E:E,'OJT Links'!H:H,"Not found")</f>
        <v>https://mylearning.sumtotal.host/core/pillarRedirect?relyingParty=LM&amp;url=app%2Fmanagement%2FLMS_ActDetails.aspx%3FActivityId%3D468098%26UserMode%3D0</v>
      </c>
    </row>
    <row r="16" spans="1:6" ht="100.8" x14ac:dyDescent="0.3">
      <c r="A16" s="10" t="s">
        <v>408</v>
      </c>
      <c r="B16" s="44" t="s">
        <v>69</v>
      </c>
      <c r="C16" s="13" t="s">
        <v>85</v>
      </c>
      <c r="D16" s="7" t="str">
        <f>_xlfn.XLOOKUP(A16,'All Courses'!A:A,'All Courses'!D:D,"Not found")</f>
        <v>course</v>
      </c>
      <c r="E16" s="7" t="str">
        <f>_xlfn.XLOOKUP(A16,'OJT IDs'!A:A,'OJT IDs'!N:N,"Not found")</f>
        <v>IHG0057043-v2024-OJT</v>
      </c>
      <c r="F16" s="9" t="str">
        <f>_xlfn.XLOOKUP(E16,'OJT Links'!E:E,'OJT Links'!H:H,"Not found")</f>
        <v>https://mylearning.sumtotal.host/core/pillarRedirect?relyingParty=LM&amp;url=app%2Fmanagement%2FLMS_ActDetails.aspx%3FActivityId%3D468091%26UserMode%3D0</v>
      </c>
    </row>
    <row r="17" spans="1:6" ht="57.6" x14ac:dyDescent="0.3">
      <c r="A17" s="10" t="s">
        <v>470</v>
      </c>
      <c r="B17" s="44" t="s">
        <v>69</v>
      </c>
      <c r="C17" s="13" t="s">
        <v>66</v>
      </c>
      <c r="D17" s="7" t="str">
        <f>_xlfn.XLOOKUP(A17,'All Courses'!A:A,'All Courses'!D:D,"Not found")</f>
        <v>course</v>
      </c>
      <c r="E17" s="7" t="str">
        <f>_xlfn.XLOOKUP(A17,'OJT IDs'!A:A,'OJT IDs'!N:N,"Not found")</f>
        <v>IHG056045-OJT</v>
      </c>
      <c r="F17" s="9" t="str">
        <f>_xlfn.XLOOKUP(E17,'OJT Links'!E:E,'OJT Links'!H:H,"Not found")</f>
        <v>https://mylearning.sumtotal.host/core/pillarRedirect?relyingParty=LM&amp;url=app%2Fmanagement%2FLMS_ActDetails.aspx%3FActivityId%3D468095%26UserMode%3D0</v>
      </c>
    </row>
    <row r="18" spans="1:6" ht="28.8" x14ac:dyDescent="0.3">
      <c r="A18" s="10" t="s">
        <v>79</v>
      </c>
      <c r="B18" s="10" t="s">
        <v>80</v>
      </c>
      <c r="C18" s="42"/>
      <c r="D18" s="7"/>
      <c r="E18" s="7" t="str">
        <f>_xlfn.XLOOKUP(A18,'OJT IDs'!A:A,'OJT IDs'!N:N,"Not found")</f>
        <v>IHG5969164-OJT</v>
      </c>
      <c r="F18" s="9" t="str">
        <f>_xlfn.XLOOKUP(E18,'OJT Links'!E:E,'OJT Links'!H:H,"Not found")</f>
        <v>https://mylearning.sumtotal.host/core/pillarRedirect?relyingParty=LM&amp;url=app%2Fmanagement%2FLMS_ActDetails.aspx%3FActivityId%3D602920%26UserMode%3D0</v>
      </c>
    </row>
    <row r="19" spans="1:6" ht="57.6" x14ac:dyDescent="0.3">
      <c r="A19" s="10" t="s">
        <v>81</v>
      </c>
      <c r="B19" s="44" t="s">
        <v>69</v>
      </c>
      <c r="C19" s="13" t="s">
        <v>66</v>
      </c>
      <c r="D19" s="7" t="str">
        <f>_xlfn.XLOOKUP(A19,'All Courses'!A:A,'All Courses'!D:D,"Not found")</f>
        <v>course</v>
      </c>
      <c r="E19" s="7" t="str">
        <f>_xlfn.XLOOKUP(A19,'OJT IDs'!A:A,'OJT IDs'!N:N,"Not found")</f>
        <v>IHG051263-OJT</v>
      </c>
      <c r="F19" s="9" t="str">
        <f>_xlfn.XLOOKUP(E19,'OJT Links'!E:E,'OJT Links'!H:H,"Not found")</f>
        <v>https://mylearning.sumtotal.host/core/pillarRedirect?relyingParty=LM&amp;url=app%2Fmanagement%2FLMS_ActDetails.aspx%3FActivityId%3D468089%26UserMode%3D0</v>
      </c>
    </row>
    <row r="20" spans="1:6" s="146" customFormat="1" ht="28.8" x14ac:dyDescent="0.3">
      <c r="A20" s="128" t="s">
        <v>82</v>
      </c>
      <c r="B20" s="147" t="s">
        <v>58</v>
      </c>
      <c r="C20" s="143" t="s">
        <v>66</v>
      </c>
      <c r="D20" s="144" t="str">
        <f>_xlfn.XLOOKUP(A20,'All Courses'!A:A,'All Courses'!D:D,"Not found")</f>
        <v>course</v>
      </c>
      <c r="E20" s="144" t="str">
        <f>_xlfn.XLOOKUP(A20,'OJT IDs'!A:A,'OJT IDs'!N:N,"Not found")</f>
        <v>IHG058044-OJT</v>
      </c>
      <c r="F20" s="145" t="str">
        <f>_xlfn.XLOOKUP(E20,'OJT Links'!E:E,'OJT Links'!H:H,"Not found")</f>
        <v>Not found</v>
      </c>
    </row>
    <row r="21" spans="1:6" ht="17.399999999999999" x14ac:dyDescent="0.3">
      <c r="A21" s="10" t="s">
        <v>83</v>
      </c>
      <c r="B21" s="44" t="s">
        <v>84</v>
      </c>
      <c r="C21" s="42"/>
      <c r="D21" s="7"/>
      <c r="E21" s="7" t="str">
        <f>_xlfn.XLOOKUP(A21,'OJT IDs'!A:A,'OJT IDs'!N:N,"Not found")</f>
        <v>IHG8342629-OJT</v>
      </c>
      <c r="F21" s="9" t="str">
        <f>_xlfn.XLOOKUP(E21,'OJT Links'!E:E,'OJT Links'!H:H,"Not found")</f>
        <v>https://mylearning.sumtotal.host/core/pillarRedirect?relyingParty=LM&amp;url=app%2Fmanagement%2FLMS_ActDetails.aspx%3FActivityId%3D603028%26UserMode%3D0</v>
      </c>
    </row>
    <row r="22" spans="1:6" ht="43.2" x14ac:dyDescent="0.3">
      <c r="A22" s="10" t="s">
        <v>88</v>
      </c>
      <c r="B22" s="10" t="s">
        <v>89</v>
      </c>
      <c r="C22" s="42"/>
      <c r="D22" s="7"/>
      <c r="E22" s="7" t="str">
        <f>_xlfn.XLOOKUP(A22,'OJT IDs'!A:A,'OJT IDs'!N:N,"Not found")</f>
        <v>IHG0061384-OJT</v>
      </c>
      <c r="F22" s="9" t="str">
        <f>_xlfn.XLOOKUP(E22,'OJT Links'!E:E,'OJT Links'!H:H,"Not found")</f>
        <v>https://mylearning.sumtotal.host/core/pillarRedirect?relyingParty=LM&amp;url=app%2Fmanagement%2FLMS_ActDetails.aspx%3FActivityId%3D596787%26UserMode%3D0</v>
      </c>
    </row>
    <row r="23" spans="1:6" ht="17.399999999999999" x14ac:dyDescent="0.3">
      <c r="C23" s="77"/>
      <c r="D23" s="7">
        <f>_xlfn.XLOOKUP(A23,'All Courses'!A:A,'All Courses'!D:D,"Not found")</f>
        <v>0</v>
      </c>
    </row>
    <row r="24" spans="1:6" ht="17.399999999999999" x14ac:dyDescent="0.3">
      <c r="D24" s="7">
        <f>_xlfn.XLOOKUP(A24,'All Courses'!A:A,'All Courses'!D:D,"Not found")</f>
        <v>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F897C4AD-8A2D-4BC9-961D-18841C28B4E8}"/>
    <hyperlink ref="C6" r:id="rId2" xr:uid="{18382654-98A6-4762-B3EA-E86DCF21A408}"/>
    <hyperlink ref="C5" r:id="rId3" xr:uid="{17C82A87-B5C1-430D-B054-211071C56C2B}"/>
    <hyperlink ref="C11" r:id="rId4" xr:uid="{04DC434B-FB12-4208-A495-874F1946F4B5}"/>
    <hyperlink ref="C12" r:id="rId5" xr:uid="{8F3BCABD-0542-49A8-9792-3976821E6002}"/>
    <hyperlink ref="C10" r:id="rId6" xr:uid="{7DD9CC64-2CF6-4164-8575-4964B8CC1EA7}"/>
    <hyperlink ref="C15" r:id="rId7" xr:uid="{1E2D9661-A28C-41BF-A365-3AFC1142E52B}"/>
    <hyperlink ref="C16" r:id="rId8" display="Link" xr:uid="{AFAE9FFE-E76B-481F-8208-EAE9F643B933}"/>
    <hyperlink ref="C17" r:id="rId9" xr:uid="{174DAD94-89FA-470E-AFA4-1854CAFEFB7E}"/>
    <hyperlink ref="C13" r:id="rId10" xr:uid="{AB062F48-C5C8-419D-8303-A8E339181D96}"/>
    <hyperlink ref="C14" r:id="rId11" xr:uid="{22BB83C8-7B3D-4C18-B3F8-390A5F49CBB5}"/>
    <hyperlink ref="C19" r:id="rId12" xr:uid="{707A081A-442B-447E-8C11-702AFA16A8D9}"/>
    <hyperlink ref="C20" r:id="rId13" xr:uid="{97C19CD9-0E38-4E5E-BE6A-8E841DE643CF}"/>
  </hyperlinks>
  <pageMargins left="0.7" right="0.7" top="0.75" bottom="0.75" header="0.3" footer="0.3"/>
  <pageSetup paperSize="17"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C7A3-FBB1-45A5-A9A5-D3E397956FF7}">
  <dimension ref="A1:F40"/>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10"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100.8" x14ac:dyDescent="0.3">
      <c r="A4" s="128" t="s">
        <v>62</v>
      </c>
      <c r="B4" s="147"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10"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10"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10" t="s">
        <v>399</v>
      </c>
      <c r="B7" s="44"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10" t="s">
        <v>71</v>
      </c>
      <c r="B8" s="44"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10" t="s">
        <v>556</v>
      </c>
      <c r="B9" s="44"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10" t="s">
        <v>73</v>
      </c>
      <c r="B10" s="44"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11" t="s">
        <v>458</v>
      </c>
      <c r="B11" s="44"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10" t="s">
        <v>74</v>
      </c>
      <c r="B12" s="44"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10" t="s">
        <v>404</v>
      </c>
      <c r="B13" s="44"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28.8" x14ac:dyDescent="0.3">
      <c r="A14" s="10" t="s">
        <v>75</v>
      </c>
      <c r="B14" s="44" t="s">
        <v>76</v>
      </c>
      <c r="C14" s="13" t="s">
        <v>66</v>
      </c>
      <c r="D14" s="7" t="s">
        <v>77</v>
      </c>
      <c r="E14" s="7" t="str">
        <f>_xlfn.XLOOKUP(A14,'OJT IDs'!A:A,'OJT IDs'!N:N,"Not found")</f>
        <v>IHG0063363-OJT</v>
      </c>
      <c r="F14" s="9" t="str">
        <f>_xlfn.XLOOKUP(E14,'OJT Links'!E:E,'OJT Links'!H:H,"Not found")</f>
        <v>https://mylearning.sumtotal.host/core/pillarRedirect?relyingParty=LM&amp;url=app%2Fmanagement%2FLMS_ActDetails.aspx%3FActivityId%3D468098%26UserMode%3D0</v>
      </c>
    </row>
    <row r="15" spans="1:6" ht="100.8" x14ac:dyDescent="0.3">
      <c r="A15" s="10" t="s">
        <v>408</v>
      </c>
      <c r="B15" s="44" t="s">
        <v>69</v>
      </c>
      <c r="C15" s="13" t="s">
        <v>85</v>
      </c>
      <c r="D15" s="7" t="str">
        <f>_xlfn.XLOOKUP(A15,'All Courses'!A:A,'All Courses'!D:D,"Not found")</f>
        <v>course</v>
      </c>
      <c r="E15" s="7" t="str">
        <f>_xlfn.XLOOKUP(A15,'OJT IDs'!A:A,'OJT IDs'!N:N,"Not found")</f>
        <v>IHG0057043-v2024-OJT</v>
      </c>
      <c r="F15" s="9" t="str">
        <f>_xlfn.XLOOKUP(E15,'OJT Links'!E:E,'OJT Links'!H:H,"Not found")</f>
        <v>https://mylearning.sumtotal.host/core/pillarRedirect?relyingParty=LM&amp;url=app%2Fmanagement%2FLMS_ActDetails.aspx%3FActivityId%3D468091%26UserMode%3D0</v>
      </c>
    </row>
    <row r="16" spans="1:6" ht="57.6" x14ac:dyDescent="0.3">
      <c r="A16" s="10" t="s">
        <v>470</v>
      </c>
      <c r="B16" s="44" t="s">
        <v>69</v>
      </c>
      <c r="C16" s="13" t="s">
        <v>66</v>
      </c>
      <c r="D16" s="7" t="str">
        <f>_xlfn.XLOOKUP(A16,'All Courses'!A:A,'All Courses'!D:D,"Not found")</f>
        <v>course</v>
      </c>
      <c r="E16" s="7" t="str">
        <f>_xlfn.XLOOKUP(A16,'OJT IDs'!A:A,'OJT IDs'!N:N,"Not found")</f>
        <v>IHG056045-OJT</v>
      </c>
      <c r="F16" s="9" t="str">
        <f>_xlfn.XLOOKUP(E16,'OJT Links'!E:E,'OJT Links'!H:H,"Not found")</f>
        <v>https://mylearning.sumtotal.host/core/pillarRedirect?relyingParty=LM&amp;url=app%2Fmanagement%2FLMS_ActDetails.aspx%3FActivityId%3D468095%26UserMode%3D0</v>
      </c>
    </row>
    <row r="17" spans="1:6" ht="28.8" x14ac:dyDescent="0.3">
      <c r="A17" s="10" t="s">
        <v>79</v>
      </c>
      <c r="B17" s="10" t="s">
        <v>80</v>
      </c>
      <c r="C17" s="42"/>
      <c r="D17" s="7"/>
      <c r="E17" s="7" t="str">
        <f>_xlfn.XLOOKUP(A17,'OJT IDs'!A:A,'OJT IDs'!N:N,"Not found")</f>
        <v>IHG5969164-OJT</v>
      </c>
      <c r="F17" s="9" t="str">
        <f>_xlfn.XLOOKUP(E17,'OJT Links'!E:E,'OJT Links'!H:H,"Not found")</f>
        <v>https://mylearning.sumtotal.host/core/pillarRedirect?relyingParty=LM&amp;url=app%2Fmanagement%2FLMS_ActDetails.aspx%3FActivityId%3D602920%26UserMode%3D0</v>
      </c>
    </row>
    <row r="18" spans="1:6" ht="57.6" x14ac:dyDescent="0.3">
      <c r="A18" s="10" t="s">
        <v>81</v>
      </c>
      <c r="B18" s="44" t="s">
        <v>69</v>
      </c>
      <c r="C18" s="13" t="s">
        <v>66</v>
      </c>
      <c r="D18" s="7" t="str">
        <f>_xlfn.XLOOKUP(A18,'All Courses'!A:A,'All Courses'!D:D,"Not found")</f>
        <v>course</v>
      </c>
      <c r="E18" s="7" t="str">
        <f>_xlfn.XLOOKUP(A18,'OJT IDs'!A:A,'OJT IDs'!N:N,"Not found")</f>
        <v>IHG051263-OJT</v>
      </c>
      <c r="F18" s="9" t="str">
        <f>_xlfn.XLOOKUP(E18,'OJT Links'!E:E,'OJT Links'!H:H,"Not found")</f>
        <v>https://mylearning.sumtotal.host/core/pillarRedirect?relyingParty=LM&amp;url=app%2Fmanagement%2FLMS_ActDetails.aspx%3FActivityId%3D468089%26UserMode%3D0</v>
      </c>
    </row>
    <row r="19" spans="1:6" s="146" customFormat="1" ht="28.8" x14ac:dyDescent="0.3">
      <c r="A19" s="128" t="s">
        <v>82</v>
      </c>
      <c r="B19" s="147" t="s">
        <v>58</v>
      </c>
      <c r="C19" s="143" t="s">
        <v>66</v>
      </c>
      <c r="D19" s="144" t="str">
        <f>_xlfn.XLOOKUP(A19,'All Courses'!A:A,'All Courses'!D:D,"Not found")</f>
        <v>course</v>
      </c>
      <c r="E19" s="144" t="str">
        <f>_xlfn.XLOOKUP(A19,'OJT IDs'!A:A,'OJT IDs'!N:N,"Not found")</f>
        <v>IHG058044-OJT</v>
      </c>
      <c r="F19" s="145" t="str">
        <f>_xlfn.XLOOKUP(E19,'OJT Links'!E:E,'OJT Links'!H:H,"Not found")</f>
        <v>Not found</v>
      </c>
    </row>
    <row r="20" spans="1:6" ht="17.399999999999999" x14ac:dyDescent="0.3">
      <c r="A20" s="10" t="s">
        <v>83</v>
      </c>
      <c r="B20" s="44" t="s">
        <v>84</v>
      </c>
      <c r="C20" s="44"/>
      <c r="D20" s="7"/>
      <c r="E20" s="7" t="str">
        <f>_xlfn.XLOOKUP(A20,'OJT IDs'!A:A,'OJT IDs'!N:N,"Not found")</f>
        <v>IHG8342629-OJT</v>
      </c>
      <c r="F20" s="9" t="str">
        <f>_xlfn.XLOOKUP(E20,'OJT Links'!E:E,'OJT Links'!H:H,"Not found")</f>
        <v>https://mylearning.sumtotal.host/core/pillarRedirect?relyingParty=LM&amp;url=app%2Fmanagement%2FLMS_ActDetails.aspx%3FActivityId%3D603028%26UserMode%3D0</v>
      </c>
    </row>
    <row r="21" spans="1:6" ht="17.399999999999999" x14ac:dyDescent="0.3">
      <c r="A21" s="86"/>
      <c r="B21" s="44"/>
      <c r="C21" s="42"/>
      <c r="D21" s="7"/>
      <c r="E21" s="7"/>
    </row>
    <row r="22" spans="1:6" x14ac:dyDescent="0.3">
      <c r="C22" s="77"/>
      <c r="D22" s="77"/>
    </row>
    <row r="23" spans="1:6" x14ac:dyDescent="0.3">
      <c r="D23" s="81"/>
    </row>
    <row r="24" spans="1:6" x14ac:dyDescent="0.3">
      <c r="D24" s="81"/>
    </row>
    <row r="25" spans="1:6" x14ac:dyDescent="0.3">
      <c r="D25" s="77"/>
    </row>
    <row r="26" spans="1:6" x14ac:dyDescent="0.3">
      <c r="D26" s="77"/>
    </row>
    <row r="27" spans="1:6" x14ac:dyDescent="0.3">
      <c r="D27" s="43"/>
    </row>
    <row r="28" spans="1:6" x14ac:dyDescent="0.3">
      <c r="D28" s="81"/>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3"/>
    </row>
    <row r="35" spans="4:4" x14ac:dyDescent="0.3">
      <c r="D35" s="84"/>
    </row>
    <row r="36" spans="4:4" x14ac:dyDescent="0.3">
      <c r="D36" s="81"/>
    </row>
    <row r="37" spans="4:4" x14ac:dyDescent="0.3">
      <c r="D37" s="77"/>
    </row>
    <row r="38" spans="4:4" x14ac:dyDescent="0.3">
      <c r="D38" s="81"/>
    </row>
    <row r="39" spans="4:4" x14ac:dyDescent="0.3">
      <c r="D39" s="81"/>
    </row>
    <row r="40" spans="4:4" x14ac:dyDescent="0.3">
      <c r="D40" s="85"/>
    </row>
  </sheetData>
  <autoFilter ref="A1:F2" xr:uid="{879CC6BF-DA14-4068-B0CE-7832347512F9}">
    <sortState xmlns:xlrd2="http://schemas.microsoft.com/office/spreadsheetml/2017/richdata2" ref="A2:F3">
      <sortCondition ref="A1:A3"/>
    </sortState>
  </autoFilter>
  <hyperlinks>
    <hyperlink ref="C2" r:id="rId1" xr:uid="{F623C46A-D95C-4609-A49E-64322B5FD1A8}"/>
    <hyperlink ref="C5" r:id="rId2" xr:uid="{A064604D-F839-4087-95B4-57BB68D43D4A}"/>
    <hyperlink ref="C4" r:id="rId3" xr:uid="{E0A2B100-FEDE-4256-A21D-42F7F04EF10D}"/>
    <hyperlink ref="C10" r:id="rId4" xr:uid="{C4960DC4-BD00-4C16-B0E9-5BC888D8FA99}"/>
    <hyperlink ref="C11" r:id="rId5" xr:uid="{1A9C978B-5F7B-4F27-AA8D-BB9389A0C98F}"/>
    <hyperlink ref="C9" r:id="rId6" xr:uid="{A338863F-083A-48F8-981D-3A0DCF91EF13}"/>
    <hyperlink ref="C14" r:id="rId7" xr:uid="{8C5E1806-BB48-4B6B-A779-CDA2194A5FA6}"/>
    <hyperlink ref="C15" r:id="rId8" display="Link" xr:uid="{E53A1C7B-46EA-413B-8F00-CF5304E55956}"/>
    <hyperlink ref="C16" r:id="rId9" xr:uid="{CE1DF0E0-18B7-4F87-8B47-5B4BFE966DEB}"/>
    <hyperlink ref="C12" r:id="rId10" xr:uid="{3B914682-2F11-4423-B6B0-B5FFD6294B7C}"/>
    <hyperlink ref="C13" r:id="rId11" xr:uid="{82A957B4-1344-4FB1-BC9C-D8C66D6CD735}"/>
    <hyperlink ref="C18" r:id="rId12" xr:uid="{1B741B44-6351-447E-8963-1782504EB642}"/>
    <hyperlink ref="C19" r:id="rId13" xr:uid="{AE704F57-353B-4F0D-8408-232A935ADC92}"/>
  </hyperlinks>
  <pageMargins left="0.7" right="0.7" top="0.75" bottom="0.75" header="0.3" footer="0.3"/>
  <pageSetup paperSize="17" orientation="portrait" r:id="rId1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68471-85B5-4827-9389-EACDE551842B}">
  <dimension ref="A1:F25"/>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76" t="s">
        <v>93</v>
      </c>
      <c r="B2" s="80" t="s">
        <v>76</v>
      </c>
      <c r="C2" s="81" t="s">
        <v>94</v>
      </c>
      <c r="D2" s="7" t="str">
        <f>_xlfn.XLOOKUP(A2,'All Courses'!A:A,'All Courses'!D:D,"Not found")</f>
        <v>Resource</v>
      </c>
      <c r="E2" s="7" t="str">
        <f>_xlfn.XLOOKUP(A2,'OJT IDs'!A:A,'OJT IDs'!N:N,"Not found")</f>
        <v>IHG1353819-OJT</v>
      </c>
      <c r="F2" s="9" t="str">
        <f>_xlfn.XLOOKUP(E2,'OJT Links'!E:E,'OJT Links'!H:H,"Not found")</f>
        <v>https://mylearning.sumtotal.host/core/pillarRedirect?relyingParty=LM&amp;url=app%2Fmanagement%2FLMS_ActDetails.aspx%3FActivityId%3D601508%26UserMode%3D0</v>
      </c>
    </row>
    <row r="3" spans="1:6" ht="64.95" customHeight="1" x14ac:dyDescent="0.3">
      <c r="A3" s="76" t="s">
        <v>95</v>
      </c>
      <c r="B3" s="80" t="s">
        <v>76</v>
      </c>
      <c r="C3" s="81" t="s">
        <v>96</v>
      </c>
      <c r="D3" s="7" t="str">
        <f>_xlfn.XLOOKUP(A3,'All Courses'!A:A,'All Courses'!D:D,"Not found")</f>
        <v>Resource</v>
      </c>
      <c r="E3" s="7" t="str">
        <f>_xlfn.XLOOKUP(A3,'OJT IDs'!A:A,'OJT IDs'!N:N,"Not found")</f>
        <v>IHG9959789-OJT</v>
      </c>
      <c r="F3" s="9" t="str">
        <f>_xlfn.XLOOKUP(E3,'OJT Links'!E:E,'OJT Links'!H:H,"Not found")</f>
        <v>https://mylearning.sumtotal.host/core/pillarRedirect?relyingParty=LM&amp;url=app%2Fmanagement%2FLMS_ActDetails.aspx%3FActivityId%3D601510%26UserMode%3D0</v>
      </c>
    </row>
    <row r="4" spans="1:6" ht="64.95" customHeight="1" x14ac:dyDescent="0.3">
      <c r="A4" s="77" t="s">
        <v>56</v>
      </c>
      <c r="B4" s="76" t="s">
        <v>57</v>
      </c>
      <c r="C4" s="77"/>
      <c r="D4" s="7"/>
      <c r="E4" s="7" t="str">
        <f>_xlfn.XLOOKUP(A4,'OJT IDs'!A:A,'OJT IDs'!N:N,"Not found")</f>
        <v>IHG6321776-OJT</v>
      </c>
      <c r="F4" s="9" t="str">
        <f>_xlfn.XLOOKUP(E4,'OJT Links'!E:E,'OJT Links'!H:H,"Not found")</f>
        <v>https://mylearning.sumtotal.host/core/pillarRedirect?relyingParty=LM&amp;url=app%2Fmanagement%2FLMS_ActDetails.aspx%3FActivityId%3D601648%26UserMode%3D0</v>
      </c>
    </row>
    <row r="5" spans="1:6" ht="115.2" x14ac:dyDescent="0.3">
      <c r="A5" s="77" t="s">
        <v>574</v>
      </c>
      <c r="B5" s="80" t="s">
        <v>58</v>
      </c>
      <c r="C5" s="82" t="s">
        <v>59</v>
      </c>
      <c r="D5" s="7" t="str">
        <f>_xlfn.XLOOKUP(A5,'All Courses'!A:A,'All Courses'!D:D,"Not found")</f>
        <v>course</v>
      </c>
      <c r="E5" s="7" t="str">
        <f>_xlfn.XLOOKUP(A5,'OJT IDs'!A:A,'OJT IDs'!N:N,"Not found")</f>
        <v>IHG0061303-OJT</v>
      </c>
      <c r="F5" s="9" t="str">
        <f>_xlfn.XLOOKUP(E5,'OJT Links'!E:E,'OJT Links'!H:H,"Not found")</f>
        <v>https://mylearning.sumtotal.host/core/pillarRedirect?relyingParty=LM&amp;url=app%2Fmanagement%2FLMS_ActDetails.aspx%3FActivityId%3D595005%26UserMode%3D0</v>
      </c>
    </row>
    <row r="6" spans="1:6" ht="17.399999999999999" x14ac:dyDescent="0.3">
      <c r="A6" s="77" t="s">
        <v>60</v>
      </c>
      <c r="B6" s="76" t="s">
        <v>61</v>
      </c>
      <c r="C6" s="77"/>
      <c r="D6" s="7"/>
      <c r="E6" s="7" t="str">
        <f>_xlfn.XLOOKUP(A6,'OJT IDs'!A:A,'OJT IDs'!N:N,"Not found")</f>
        <v>IHG1885862-OJT</v>
      </c>
      <c r="F6" s="9" t="str">
        <f>_xlfn.XLOOKUP(E6,'OJT Links'!E:E,'OJT Links'!H:H,"Not found")</f>
        <v>https://mylearning.sumtotal.host/core/pillarRedirect?relyingParty=LM&amp;url=app%2Fmanagement%2FLMS_ActDetails.aspx%3FActivityId%3D601671%26UserMode%3D0</v>
      </c>
    </row>
    <row r="7" spans="1:6" s="146" customFormat="1" ht="100.8" x14ac:dyDescent="0.3">
      <c r="A7" s="141" t="s">
        <v>62</v>
      </c>
      <c r="B7" s="142" t="s">
        <v>58</v>
      </c>
      <c r="C7" s="143" t="s">
        <v>63</v>
      </c>
      <c r="D7" s="144" t="str">
        <f>_xlfn.XLOOKUP(A7,'All Courses'!A:A,'All Courses'!D:D,"Not found")</f>
        <v>Resource</v>
      </c>
      <c r="E7" s="144" t="str">
        <f>_xlfn.XLOOKUP(A7,'OJT IDs'!A:A,'OJT IDs'!N:N,"Not found")</f>
        <v>IHG0047626-OJT</v>
      </c>
      <c r="F7" s="145" t="str">
        <f>_xlfn.XLOOKUP(E7,'OJT Links'!E:E,'OJT Links'!H:H,"Not found")</f>
        <v>Not found</v>
      </c>
    </row>
    <row r="8" spans="1:6" ht="28.8" x14ac:dyDescent="0.3">
      <c r="A8" s="77" t="s">
        <v>64</v>
      </c>
      <c r="B8" s="76" t="s">
        <v>65</v>
      </c>
      <c r="C8" s="81" t="s">
        <v>66</v>
      </c>
      <c r="D8" s="7" t="str">
        <f>_xlfn.XLOOKUP(A8,'All Courses'!A:A,'All Courses'!D:D,"Not found")</f>
        <v>course</v>
      </c>
      <c r="E8" s="7" t="str">
        <f>_xlfn.XLOOKUP(A8,'OJT IDs'!A:A,'OJT IDs'!N:N,"Not found")</f>
        <v>IHG9191264-OJT</v>
      </c>
      <c r="F8" s="9" t="str">
        <f>_xlfn.XLOOKUP(E8,'OJT Links'!E:E,'OJT Links'!H:H,"Not found")</f>
        <v>https://mylearning.sumtotal.host/core/pillarRedirect?relyingParty=LM&amp;url=app%2Fmanagement%2FLMS_ActDetails.aspx%3FActivityId%3D601724%26UserMode%3D0</v>
      </c>
    </row>
    <row r="9" spans="1:6" ht="43.2" x14ac:dyDescent="0.3">
      <c r="A9" s="77" t="s">
        <v>67</v>
      </c>
      <c r="B9" s="76" t="s">
        <v>68</v>
      </c>
      <c r="C9" s="77"/>
      <c r="D9" s="7"/>
      <c r="E9" s="7" t="str">
        <f>_xlfn.XLOOKUP(A9,'OJT IDs'!A:A,'OJT IDs'!N:N,"Not found")</f>
        <v>IHG8611503-OJT</v>
      </c>
      <c r="F9" s="9" t="str">
        <f>_xlfn.XLOOKUP(E9,'OJT Links'!E:E,'OJT Links'!H:H,"Not found")</f>
        <v>https://mylearning.sumtotal.host/core/pillarRedirect?relyingParty=LM&amp;url=app%2Fmanagement%2FLMS_ActDetails.aspx%3FActivityId%3D601740%26UserMode%3D0</v>
      </c>
    </row>
    <row r="10" spans="1:6" ht="115.2" x14ac:dyDescent="0.3">
      <c r="A10" s="76" t="s">
        <v>399</v>
      </c>
      <c r="B10" s="80" t="s">
        <v>69</v>
      </c>
      <c r="C10" s="77" t="s">
        <v>70</v>
      </c>
      <c r="D10" s="7" t="str">
        <f>_xlfn.XLOOKUP(A10,'All Courses'!A:A,'All Courses'!D:D,"Not found")</f>
        <v>course</v>
      </c>
      <c r="E10" s="7" t="str">
        <f>_xlfn.XLOOKUP(A10,'OJT IDs'!A:A,'OJT IDs'!N:N,"Not found")</f>
        <v>IHG0049491-OJT</v>
      </c>
      <c r="F10" s="9" t="str">
        <f>_xlfn.XLOOKUP(E10,'OJT Links'!E:E,'OJT Links'!H:H,"Not found")</f>
        <v>https://mylearning.sumtotal.host/core/pillarRedirect?relyingParty=LM&amp;url=app%2Fmanagement%2FLMS_ActDetails.aspx%3FActivityId%3D595027%26UserMode%3D0</v>
      </c>
    </row>
    <row r="11" spans="1:6" ht="115.2" x14ac:dyDescent="0.3">
      <c r="A11" s="76" t="s">
        <v>71</v>
      </c>
      <c r="B11" s="80" t="s">
        <v>58</v>
      </c>
      <c r="C11" s="43" t="s">
        <v>72</v>
      </c>
      <c r="D11" s="7" t="str">
        <f>_xlfn.XLOOKUP(A11,'All Courses'!A:A,'All Courses'!D:D,"Not found")</f>
        <v>course</v>
      </c>
      <c r="E11" s="7" t="str">
        <f>_xlfn.XLOOKUP(A11,'OJT IDs'!A:A,'OJT IDs'!N:N,"Not found")</f>
        <v>IHG0054667-OJT</v>
      </c>
      <c r="F11" s="9" t="str">
        <f>_xlfn.XLOOKUP(E11,'OJT Links'!E:E,'OJT Links'!H:H,"Not found")</f>
        <v>https://mylearning.sumtotal.host/core/pillarRedirect?relyingParty=LM&amp;url=app%2Fmanagement%2FLMS_ActDetails.aspx%3FActivityId%3D595030%26UserMode%3D0</v>
      </c>
    </row>
    <row r="12" spans="1:6" ht="57.6" x14ac:dyDescent="0.3">
      <c r="A12" s="77" t="s">
        <v>556</v>
      </c>
      <c r="B12" s="80" t="s">
        <v>69</v>
      </c>
      <c r="C12" s="81" t="s">
        <v>66</v>
      </c>
      <c r="D12" s="7" t="str">
        <f>_xlfn.XLOOKUP(A12,'All Courses'!A:A,'All Courses'!D:D,"Not found")</f>
        <v>course</v>
      </c>
      <c r="E12" s="7" t="str">
        <f>_xlfn.XLOOKUP(A12,'OJT IDs'!A:A,'OJT IDs'!N:N,"Not found")</f>
        <v>IHG7376524-OJT</v>
      </c>
      <c r="F12" s="9" t="str">
        <f>_xlfn.XLOOKUP(E12,'OJT Links'!E:E,'OJT Links'!H:H,"Not found")</f>
        <v>https://mylearning.sumtotal.host/core/pillarRedirect?relyingParty=LM&amp;url=app%2Fmanagement%2FLMS_ActDetails.aspx%3FActivityId%3D468097%26UserMode%3D0</v>
      </c>
    </row>
    <row r="13" spans="1:6" ht="57.6" x14ac:dyDescent="0.3">
      <c r="A13" s="77" t="s">
        <v>73</v>
      </c>
      <c r="B13" s="80" t="s">
        <v>69</v>
      </c>
      <c r="C13" s="81" t="s">
        <v>66</v>
      </c>
      <c r="D13" s="7" t="str">
        <f>_xlfn.XLOOKUP(A13,'All Courses'!A:A,'All Courses'!D:D,"Not found")</f>
        <v>course</v>
      </c>
      <c r="E13" s="7" t="str">
        <f>_xlfn.XLOOKUP(A13,'OJT IDs'!A:A,'OJT IDs'!N:N,"Not found")</f>
        <v>IHG1227263-OJT</v>
      </c>
      <c r="F13" s="9" t="str">
        <f>_xlfn.XLOOKUP(E13,'OJT Links'!E:E,'OJT Links'!H:H,"Not found")</f>
        <v>https://mylearning.sumtotal.host/core/pillarRedirect?relyingParty=LM&amp;url=app%2Fmanagement%2FLMS_ActDetails.aspx%3FActivityId%3D595028%26UserMode%3D0</v>
      </c>
    </row>
    <row r="14" spans="1:6" ht="57.6" x14ac:dyDescent="0.3">
      <c r="A14" s="79" t="s">
        <v>458</v>
      </c>
      <c r="B14" s="80" t="s">
        <v>69</v>
      </c>
      <c r="C14" s="81" t="s">
        <v>66</v>
      </c>
      <c r="D14" s="7" t="str">
        <f>_xlfn.XLOOKUP(A14,'All Courses'!A:A,'All Courses'!D:D,"Not found")</f>
        <v>course</v>
      </c>
      <c r="E14" s="7" t="str">
        <f>_xlfn.XLOOKUP(A14,'OJT IDs'!A:A,'OJT IDs'!N:N,"Not found")</f>
        <v>IHG052185-OJT</v>
      </c>
      <c r="F14" s="9" t="str">
        <f>_xlfn.XLOOKUP(E14,'OJT Links'!E:E,'OJT Links'!H:H,"Not found")</f>
        <v>https://mylearning.sumtotal.host/core/pillarRedirect?relyingParty=LM&amp;url=app%2Fmanagement%2FLMS_ActDetails.aspx%3FActivityId%3D595029%26UserMode%3D0</v>
      </c>
    </row>
    <row r="15" spans="1:6" ht="28.8" x14ac:dyDescent="0.3">
      <c r="A15" s="76" t="s">
        <v>74</v>
      </c>
      <c r="B15" s="80" t="s">
        <v>58</v>
      </c>
      <c r="C15" s="81" t="s">
        <v>66</v>
      </c>
      <c r="D15" s="7" t="str">
        <f>_xlfn.XLOOKUP(A15,'All Courses'!A:A,'All Courses'!D:D,"Not found")</f>
        <v>course</v>
      </c>
      <c r="E15" s="7" t="str">
        <f>_xlfn.XLOOKUP(A15,'OJT IDs'!A:A,'OJT IDs'!N:N,"Not found")</f>
        <v>IHG0047625-OJT</v>
      </c>
      <c r="F15" s="9" t="str">
        <f>_xlfn.XLOOKUP(E15,'OJT Links'!E:E,'OJT Links'!H:H,"Not found")</f>
        <v>https://mylearning.sumtotal.host/core/pillarRedirect?relyingParty=LM&amp;url=app%2Fmanagement%2FLMS_ActDetails.aspx%3FActivityId%3D596770%26UserMode%3D0</v>
      </c>
    </row>
    <row r="16" spans="1:6" ht="57.6" x14ac:dyDescent="0.3">
      <c r="A16" s="76" t="s">
        <v>404</v>
      </c>
      <c r="B16" s="80" t="s">
        <v>69</v>
      </c>
      <c r="C16" s="81" t="s">
        <v>66</v>
      </c>
      <c r="D16" s="7" t="str">
        <f>_xlfn.XLOOKUP(A16,'All Courses'!A:A,'All Courses'!D:D,"Not found")</f>
        <v>course</v>
      </c>
      <c r="E16" s="7" t="str">
        <f>_xlfn.XLOOKUP(A16,'OJT IDs'!A:A,'OJT IDs'!N:N,"Not found")</f>
        <v>IHG0056403-OJT</v>
      </c>
      <c r="F16" s="9" t="str">
        <f>_xlfn.XLOOKUP(E16,'OJT Links'!E:E,'OJT Links'!H:H,"Not found")</f>
        <v>https://mylearning.sumtotal.host/core/pillarRedirect?relyingParty=LM&amp;url=app%2Fmanagement%2FLMS_ActDetails.aspx%3FActivityId%3D596772%26UserMode%3D0</v>
      </c>
    </row>
    <row r="17" spans="1:6" ht="57.6" x14ac:dyDescent="0.3">
      <c r="A17" s="77" t="s">
        <v>408</v>
      </c>
      <c r="B17" s="80" t="s">
        <v>69</v>
      </c>
      <c r="C17" s="83" t="s">
        <v>66</v>
      </c>
      <c r="D17" s="7" t="str">
        <f>_xlfn.XLOOKUP(A17,'All Courses'!A:A,'All Courses'!D:D,"Not found")</f>
        <v>course</v>
      </c>
      <c r="E17" s="7" t="str">
        <f>_xlfn.XLOOKUP(A17,'OJT IDs'!A:A,'OJT IDs'!N:N,"Not found")</f>
        <v>IHG0057043-v2024-OJT</v>
      </c>
      <c r="F17" s="9" t="str">
        <f>_xlfn.XLOOKUP(E17,'OJT Links'!E:E,'OJT Links'!H:H,"Not found")</f>
        <v>https://mylearning.sumtotal.host/core/pillarRedirect?relyingParty=LM&amp;url=app%2Fmanagement%2FLMS_ActDetails.aspx%3FActivityId%3D468091%26UserMode%3D0</v>
      </c>
    </row>
    <row r="18" spans="1:6" ht="86.4" x14ac:dyDescent="0.3">
      <c r="A18" s="76" t="s">
        <v>470</v>
      </c>
      <c r="B18" s="80" t="s">
        <v>69</v>
      </c>
      <c r="C18" s="84" t="s">
        <v>78</v>
      </c>
      <c r="D18" s="7" t="str">
        <f>_xlfn.XLOOKUP(A18,'All Courses'!A:A,'All Courses'!D:D,"Not found")</f>
        <v>course</v>
      </c>
      <c r="E18" s="7" t="str">
        <f>_xlfn.XLOOKUP(A18,'OJT IDs'!A:A,'OJT IDs'!N:N,"Not found")</f>
        <v>IHG056045-OJT</v>
      </c>
      <c r="F18" s="9" t="str">
        <f>_xlfn.XLOOKUP(E18,'OJT Links'!E:E,'OJT Links'!H:H,"Not found")</f>
        <v>https://mylearning.sumtotal.host/core/pillarRedirect?relyingParty=LM&amp;url=app%2Fmanagement%2FLMS_ActDetails.aspx%3FActivityId%3D468095%26UserMode%3D0</v>
      </c>
    </row>
    <row r="19" spans="1:6" ht="28.8" x14ac:dyDescent="0.3">
      <c r="A19" s="77" t="s">
        <v>79</v>
      </c>
      <c r="B19" s="76" t="s">
        <v>80</v>
      </c>
      <c r="C19" s="81" t="s">
        <v>66</v>
      </c>
      <c r="D19" s="7"/>
      <c r="E19" s="7" t="str">
        <f>_xlfn.XLOOKUP(A19,'OJT IDs'!A:A,'OJT IDs'!N:N,"Not found")</f>
        <v>IHG5969164-OJT</v>
      </c>
      <c r="F19" s="9" t="str">
        <f>_xlfn.XLOOKUP(E19,'OJT Links'!E:E,'OJT Links'!H:H,"Not found")</f>
        <v>https://mylearning.sumtotal.host/core/pillarRedirect?relyingParty=LM&amp;url=app%2Fmanagement%2FLMS_ActDetails.aspx%3FActivityId%3D602920%26UserMode%3D0</v>
      </c>
    </row>
    <row r="20" spans="1:6" ht="57.6" x14ac:dyDescent="0.3">
      <c r="A20" s="76" t="s">
        <v>81</v>
      </c>
      <c r="B20" s="80" t="s">
        <v>69</v>
      </c>
      <c r="C20" s="77"/>
      <c r="D20" s="7" t="str">
        <f>_xlfn.XLOOKUP(A20,'All Courses'!A:A,'All Courses'!D:D,"Not found")</f>
        <v>course</v>
      </c>
      <c r="E20" s="7" t="str">
        <f>_xlfn.XLOOKUP(A20,'OJT IDs'!A:A,'OJT IDs'!N:N,"Not found")</f>
        <v>IHG051263-OJT</v>
      </c>
      <c r="F20" s="9" t="str">
        <f>_xlfn.XLOOKUP(E20,'OJT Links'!E:E,'OJT Links'!H:H,"Not found")</f>
        <v>https://mylearning.sumtotal.host/core/pillarRedirect?relyingParty=LM&amp;url=app%2Fmanagement%2FLMS_ActDetails.aspx%3FActivityId%3D468089%26UserMode%3D0</v>
      </c>
    </row>
    <row r="21" spans="1:6" s="146" customFormat="1" ht="28.8" x14ac:dyDescent="0.3">
      <c r="A21" s="141" t="s">
        <v>82</v>
      </c>
      <c r="B21" s="142" t="s">
        <v>58</v>
      </c>
      <c r="C21" s="143" t="s">
        <v>66</v>
      </c>
      <c r="D21" s="144" t="str">
        <f>_xlfn.XLOOKUP(A21,'All Courses'!A:A,'All Courses'!D:D,"Not found")</f>
        <v>course</v>
      </c>
      <c r="E21" s="144" t="str">
        <f>_xlfn.XLOOKUP(A21,'OJT IDs'!A:A,'OJT IDs'!N:N,"Not found")</f>
        <v>IHG058044-OJT</v>
      </c>
      <c r="F21" s="145" t="str">
        <f>_xlfn.XLOOKUP(E21,'OJT Links'!E:E,'OJT Links'!H:H,"Not found")</f>
        <v>Not found</v>
      </c>
    </row>
    <row r="22" spans="1:6" ht="17.399999999999999" x14ac:dyDescent="0.3">
      <c r="A22" s="76" t="s">
        <v>83</v>
      </c>
      <c r="B22" s="80" t="s">
        <v>84</v>
      </c>
      <c r="C22" s="81" t="s">
        <v>66</v>
      </c>
      <c r="D22" s="7"/>
      <c r="E22" s="7" t="str">
        <f>_xlfn.XLOOKUP(A22,'OJT IDs'!A:A,'OJT IDs'!N:N,"Not found")</f>
        <v>IHG8342629-OJT</v>
      </c>
      <c r="F22" s="9" t="str">
        <f>_xlfn.XLOOKUP(E22,'OJT Links'!E:E,'OJT Links'!H:H,"Not found")</f>
        <v>https://mylearning.sumtotal.host/core/pillarRedirect?relyingParty=LM&amp;url=app%2Fmanagement%2FLMS_ActDetails.aspx%3FActivityId%3D603028%26UserMode%3D0</v>
      </c>
    </row>
    <row r="23" spans="1:6" ht="57.6" x14ac:dyDescent="0.3">
      <c r="A23" s="76" t="s">
        <v>97</v>
      </c>
      <c r="B23" s="80" t="s">
        <v>69</v>
      </c>
      <c r="C23" s="77"/>
      <c r="D23" s="7" t="str">
        <f>_xlfn.XLOOKUP(A23,'All Courses'!A:A,'All Courses'!D:D,"Not found")</f>
        <v>course</v>
      </c>
      <c r="E23" s="144" t="str">
        <f>_xlfn.XLOOKUP(A23,'OJT IDs'!A:A,'OJT IDs'!N:N,"Not found")</f>
        <v>IHG0064483-OJT</v>
      </c>
      <c r="F23" s="9" t="str">
        <f>_xlfn.XLOOKUP(E23,'OJT Links'!E:E,'OJT Links'!H:H,"Not found")</f>
        <v>https://mylearning.sumtotal.host/core/pillarRedirect?relyingParty=LM&amp;url=app%2Fmanagement%2FLMS_ActDetails.aspx%3FActivityId%3D595025%26UserMode%3D0</v>
      </c>
    </row>
    <row r="24" spans="1:6" ht="115.2" x14ac:dyDescent="0.3">
      <c r="A24" s="76" t="s">
        <v>98</v>
      </c>
      <c r="B24" s="80" t="s">
        <v>69</v>
      </c>
      <c r="C24" s="81" t="s">
        <v>99</v>
      </c>
      <c r="D24" s="7" t="str">
        <f>_xlfn.XLOOKUP(A24,'All Courses'!A:A,'All Courses'!D:D,"Not found")</f>
        <v>course</v>
      </c>
      <c r="E24" s="144" t="str">
        <f>_xlfn.XLOOKUP(A24,'OJT IDs'!A:A,'OJT IDs'!N:N,"Not found")</f>
        <v>IHG0064483-OJT</v>
      </c>
      <c r="F24" s="9" t="str">
        <f>_xlfn.XLOOKUP(E24,'OJT Links'!E:E,'OJT Links'!H:H,"Not found")</f>
        <v>https://mylearning.sumtotal.host/core/pillarRedirect?relyingParty=LM&amp;url=app%2Fmanagement%2FLMS_ActDetails.aspx%3FActivityId%3D595025%26UserMode%3D0</v>
      </c>
    </row>
    <row r="25" spans="1:6" x14ac:dyDescent="0.3">
      <c r="C25" s="81"/>
    </row>
  </sheetData>
  <autoFilter ref="A1:F3" xr:uid="{879CC6BF-DA14-4068-B0CE-7832347512F9}">
    <sortState xmlns:xlrd2="http://schemas.microsoft.com/office/spreadsheetml/2017/richdata2" ref="A2:F4">
      <sortCondition ref="A1:A4"/>
    </sortState>
  </autoFilter>
  <hyperlinks>
    <hyperlink ref="C2" r:id="rId1" xr:uid="{9FADF00B-F8FC-4672-BE1D-44D963B4D472}"/>
    <hyperlink ref="C3" r:id="rId2" xr:uid="{7C4B42F2-1883-4BA0-96CF-FD677491455F}"/>
    <hyperlink ref="C5" r:id="rId3" xr:uid="{4D97DB5F-12B2-4F2B-8224-BEEA3726328B}"/>
    <hyperlink ref="C7" r:id="rId4" display="https://me2.ihgmerlin.com/web/init-ihg-information-security/homeandhttps:/me2.ihgmerlin.com/web/init-pci-compliance" xr:uid="{68A167E2-14FE-4B1B-95BE-4DEDF77C147A}"/>
    <hyperlink ref="C8" r:id="rId5" display="https://me2.ihgmerlin.com/web/responsible-business/colleague-health-safety-training" xr:uid="{A2540696-173A-4392-A741-ECE0880C7D79}"/>
    <hyperlink ref="C12" r:id="rId6" display="https://mylearning.sumtotal.host/rcore/c/pillarRedirect?isDeepLink=1&amp;relyingParty=LM&amp;url=https%3A%2F%2Fmylearning.sumtotal.host%2Flearning%2Fcore%2Factivitydetails%2FViewActivityDetails%3FUserMode%3D0%26ActivityId%3D280596%26ClassUnderStruct%3DFalse%26CallerUrl%3D%2Flearning%2Flearner%2FHome%2FGoToPortal%3Fkey%3D0%26SearchCallerURL%3Dhttps%253A%252F%252Fmylearning.sumtotal.host%252Fcore%252FsearchRedirect%253FViewType%253DList%2526SearchText%253Dihg%25252520way%25252520clean%2526startRow%253D0%26SearchCallerID%3D2" xr:uid="{308FFB17-2FD9-44F6-B18B-0686BD20F045}"/>
    <hyperlink ref="C13" r:id="rId7" display="https://mylearning.sumtotal.host/rcore/c/pillarRedirect?isDeepLink=1&amp;relyingParty=LM&amp;url=https%3A%2F%2Fmylearning.sumtotal.host%2Flearning%2Fcore%2Factivitydetails%2FViewActivityDetails%3FUserMode%3D0%26ActivityId%3D310962%26ClassUnderStruct%3DFalse%26CallerUrl%3D%2Flearning%2Flearner%2FHome%2FGoToPortal%3Fkey%3D0%26SearchCallerURL%3Dhttps%253A%252F%252Fmylearning.sumtotal.host%252Fcore%252FsearchRedirect%253FViewType%253DList%2526SearchText%253DIHG%25252520Way%25252520of%25252520clean%25252520for%25252520non-housekeepers%2526startRow%253D0%26SearchCallerID%3D2" xr:uid="{734ADA5B-818F-40D2-A32F-775DB8864361}"/>
    <hyperlink ref="C14" r:id="rId8" display="https://mylearning.sumtotal.host/rcore/c/pillarRedirect?isDeepLink=1&amp;relyingParty=LM&amp;url=https%3A%2F%2Fmylearning.sumtotal.host%2Flearning%2Fcore%2Factivitydetails%2FViewActivityDetails%3FUserMode%3D0%26ActivityId%3D10710%26ClassUnderStruct%3DFalse%26CallerUrl%3D%2Flearning%2Flearner%2FHome%2FGoToPortal%3Fkey%3D0%26SearchCallerURL%3Dhttps%253A%252F%252Fmylearning.sumtotal.host%252Fcore%252FsearchRedirect%253FViewType%253DList%2526SearchText%253DIHG%25252520World%25252520Class%25252520Beverage%2526startRow%253D0%26SearchCallerID%3D2" xr:uid="{FA9C33EC-EBBD-49B5-9D69-CCB495D401D6}"/>
    <hyperlink ref="C15" r:id="rId9" display="https://mylearning.sumtotal.host/core/pillarRedirect?relyingParty=LM&amp;url=app%2Fmanagement%2FLMS_ActDetails.aspx%3FActivityId%3D6447%26UserMode%3D0" xr:uid="{3354AC64-3F7A-4E3E-AE2D-F476625681F8}"/>
    <hyperlink ref="C16" r:id="rId10" display="https://mylearning.sumtotal.host/core/pillarRedirect?relyingParty=LM&amp;url=app%2Fmanagement%2FLMS_ActDetails.aspx%3FActivityId%3D564%26UserMode%3D0" xr:uid="{435DFB59-B8F8-44EC-998B-FEE2481C0788}"/>
    <hyperlink ref="C17" r:id="rId11" display="https://mylearning.sumtotal.host/core/pillarRedirect?relyingParty=LM&amp;url=app%2Fmanagement%2FLMS_ActDetails.aspx%3FActivityId%3D310951%26UserMode%3D0" xr:uid="{DF246C45-8B93-4C59-8142-340AEE693921}"/>
    <hyperlink ref="C18" r:id="rId12" display="https://mylearning.sumtotal.host/core/pillarRedirect?relyingParty=LM&amp;url=app%2Fmanagement%2FLMS_ActDetails.aspx%3FActivityId%3D310951%26UserMode%3D0" xr:uid="{B655F47C-3DC5-436C-A439-64B6D21FBD56}"/>
    <hyperlink ref="C19" r:id="rId13" display="https://mylearning.sumtotal.host/core/pillarRedirect?relyingParty=LM&amp;url=app%2Fmanagement%2FLMS_ActDetails.aspx%3FActivityId%3D21837%26UserMode%3D0" xr:uid="{36782051-AD29-4CC2-82BA-8DD6FDFE22DA}"/>
    <hyperlink ref="C21" r:id="rId14" display="https://mylearning.sumtotal.host/core/pillarRedirect?relyingParty=LM&amp;url=app%2Fmanagement%2FLMS_ActDetails.aspx%3FActivityId%3D10700%26UserMode%3D0" xr:uid="{DD801F96-2DF5-4BC6-B5CB-70BA96143D29}"/>
    <hyperlink ref="C22" r:id="rId15" display="https://mylearning.sumtotal.host/core/pillarRedirect?relyingParty=LM&amp;url=app%2Fmanagement%2FLMS_ActDetails.aspx%3FActivityId%3D10770%26UserMode%3D0" xr:uid="{1D4A1296-CBDC-486F-9AC8-C2C0D403CE8C}"/>
    <hyperlink ref="C24" r:id="rId16" xr:uid="{8D6FA678-C756-4793-B390-8A383B832B4F}"/>
  </hyperlinks>
  <pageMargins left="0.7" right="0.7" top="0.75" bottom="0.75" header="0.3" footer="0.3"/>
  <pageSetup paperSize="17" orientation="portrait"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9756-F45E-4135-86BB-F4F4CF113AD9}">
  <dimension ref="A1:F41"/>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10"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64.95" customHeight="1" x14ac:dyDescent="0.3">
      <c r="A4" s="128" t="s">
        <v>62</v>
      </c>
      <c r="B4" s="147"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10"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10"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10" t="s">
        <v>399</v>
      </c>
      <c r="B7" s="44"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10" t="s">
        <v>71</v>
      </c>
      <c r="B8" s="44"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10" t="s">
        <v>556</v>
      </c>
      <c r="B9" s="44"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10" t="s">
        <v>73</v>
      </c>
      <c r="B10" s="44"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11" t="s">
        <v>458</v>
      </c>
      <c r="B11" s="44"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10" t="s">
        <v>74</v>
      </c>
      <c r="B12" s="44"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10" t="s">
        <v>404</v>
      </c>
      <c r="B13" s="44"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100.8" x14ac:dyDescent="0.3">
      <c r="A14" s="10" t="s">
        <v>408</v>
      </c>
      <c r="B14" s="44" t="s">
        <v>69</v>
      </c>
      <c r="C14" s="13" t="s">
        <v>85</v>
      </c>
      <c r="D14" s="7" t="str">
        <f>_xlfn.XLOOKUP(A14,'All Courses'!A:A,'All Courses'!D:D,"Not found")</f>
        <v>course</v>
      </c>
      <c r="E14" s="7" t="str">
        <f>_xlfn.XLOOKUP(A14,'OJT IDs'!A:A,'OJT IDs'!N:N,"Not found")</f>
        <v>IHG0057043-v2024-OJT</v>
      </c>
      <c r="F14" s="9" t="str">
        <f>_xlfn.XLOOKUP(E14,'OJT Links'!E:E,'OJT Links'!H:H,"Not found")</f>
        <v>https://mylearning.sumtotal.host/core/pillarRedirect?relyingParty=LM&amp;url=app%2Fmanagement%2FLMS_ActDetails.aspx%3FActivityId%3D468091%26UserMode%3D0</v>
      </c>
    </row>
    <row r="15" spans="1:6" ht="57.6" x14ac:dyDescent="0.3">
      <c r="A15" s="10" t="s">
        <v>470</v>
      </c>
      <c r="B15" s="44" t="s">
        <v>69</v>
      </c>
      <c r="C15" s="13" t="s">
        <v>66</v>
      </c>
      <c r="D15" s="7" t="str">
        <f>_xlfn.XLOOKUP(A15,'All Courses'!A:A,'All Courses'!D:D,"Not found")</f>
        <v>course</v>
      </c>
      <c r="E15" s="7" t="str">
        <f>_xlfn.XLOOKUP(A15,'OJT IDs'!A:A,'OJT IDs'!N:N,"Not found")</f>
        <v>IHG056045-OJT</v>
      </c>
      <c r="F15" s="9" t="str">
        <f>_xlfn.XLOOKUP(E15,'OJT Links'!E:E,'OJT Links'!H:H,"Not found")</f>
        <v>https://mylearning.sumtotal.host/core/pillarRedirect?relyingParty=LM&amp;url=app%2Fmanagement%2FLMS_ActDetails.aspx%3FActivityId%3D468095%26UserMode%3D0</v>
      </c>
    </row>
    <row r="16" spans="1:6" ht="28.8" x14ac:dyDescent="0.3">
      <c r="A16" s="10" t="s">
        <v>79</v>
      </c>
      <c r="B16" s="10" t="s">
        <v>80</v>
      </c>
      <c r="C16" s="42"/>
      <c r="D16" s="7"/>
      <c r="E16" s="7" t="str">
        <f>_xlfn.XLOOKUP(A16,'OJT IDs'!A:A,'OJT IDs'!N:N,"Not found")</f>
        <v>IHG5969164-OJT</v>
      </c>
      <c r="F16" s="9" t="str">
        <f>_xlfn.XLOOKUP(E16,'OJT Links'!E:E,'OJT Links'!H:H,"Not found")</f>
        <v>https://mylearning.sumtotal.host/core/pillarRedirect?relyingParty=LM&amp;url=app%2Fmanagement%2FLMS_ActDetails.aspx%3FActivityId%3D602920%26UserMode%3D0</v>
      </c>
    </row>
    <row r="17" spans="1:6" ht="57.6" x14ac:dyDescent="0.3">
      <c r="A17" s="10" t="s">
        <v>81</v>
      </c>
      <c r="B17" s="44" t="s">
        <v>69</v>
      </c>
      <c r="C17" s="13" t="s">
        <v>66</v>
      </c>
      <c r="D17" s="7" t="str">
        <f>_xlfn.XLOOKUP(A17,'All Courses'!A:A,'All Courses'!D:D,"Not found")</f>
        <v>course</v>
      </c>
      <c r="E17" s="7" t="str">
        <f>_xlfn.XLOOKUP(A17,'OJT IDs'!A:A,'OJT IDs'!N:N,"Not found")</f>
        <v>IHG051263-OJT</v>
      </c>
      <c r="F17" s="9" t="str">
        <f>_xlfn.XLOOKUP(E17,'OJT Links'!E:E,'OJT Links'!H:H,"Not found")</f>
        <v>https://mylearning.sumtotal.host/core/pillarRedirect?relyingParty=LM&amp;url=app%2Fmanagement%2FLMS_ActDetails.aspx%3FActivityId%3D468089%26UserMode%3D0</v>
      </c>
    </row>
    <row r="18" spans="1:6" s="146" customFormat="1" ht="28.8" x14ac:dyDescent="0.3">
      <c r="A18" s="128" t="s">
        <v>82</v>
      </c>
      <c r="B18" s="147" t="s">
        <v>58</v>
      </c>
      <c r="C18" s="143" t="s">
        <v>66</v>
      </c>
      <c r="D18" s="144" t="str">
        <f>_xlfn.XLOOKUP(A18,'All Courses'!A:A,'All Courses'!D:D,"Not found")</f>
        <v>course</v>
      </c>
      <c r="E18" s="144" t="str">
        <f>_xlfn.XLOOKUP(A18,'OJT IDs'!A:A,'OJT IDs'!N:N,"Not found")</f>
        <v>IHG058044-OJT</v>
      </c>
      <c r="F18" s="145" t="str">
        <f>_xlfn.XLOOKUP(E18,'OJT Links'!E:E,'OJT Links'!H:H,"Not found")</f>
        <v>Not found</v>
      </c>
    </row>
    <row r="19" spans="1:6" ht="17.399999999999999" x14ac:dyDescent="0.3">
      <c r="A19" s="10" t="s">
        <v>83</v>
      </c>
      <c r="B19" s="44" t="s">
        <v>84</v>
      </c>
      <c r="C19" s="42"/>
      <c r="D19" s="7"/>
      <c r="E19" s="7" t="str">
        <f>_xlfn.XLOOKUP(A19,'OJT IDs'!A:A,'OJT IDs'!N:N,"Not found")</f>
        <v>IHG8342629-OJT</v>
      </c>
      <c r="F19" s="9" t="str">
        <f>_xlfn.XLOOKUP(E19,'OJT Links'!E:E,'OJT Links'!H:H,"Not found")</f>
        <v>https://mylearning.sumtotal.host/core/pillarRedirect?relyingParty=LM&amp;url=app%2Fmanagement%2FLMS_ActDetails.aspx%3FActivityId%3D603028%26UserMode%3D0</v>
      </c>
    </row>
    <row r="20" spans="1:6" ht="115.2" x14ac:dyDescent="0.3">
      <c r="A20" s="10" t="s">
        <v>100</v>
      </c>
      <c r="B20" s="44" t="s">
        <v>69</v>
      </c>
      <c r="C20" s="42" t="s">
        <v>101</v>
      </c>
      <c r="D20" s="7" t="str">
        <f>_xlfn.XLOOKUP(A20,'All Courses'!A:A,'All Courses'!D:D,"Not found")</f>
        <v>course</v>
      </c>
      <c r="E20" s="7" t="str">
        <f>_xlfn.XLOOKUP(A20,'OJT IDs'!A:A,'OJT IDs'!N:N,"Not found")</f>
        <v>IHG0066043-OJT</v>
      </c>
      <c r="F20" s="9" t="str">
        <f>_xlfn.XLOOKUP(E20,'OJT Links'!E:E,'OJT Links'!H:H,"Not found")</f>
        <v>https://mylearning.sumtotal.host/core/pillarRedirect?relyingParty=LM&amp;url=app%2Fmanagement%2FLMS_ActDetails.aspx%3FActivityId%3D596785%26UserMode%3D0</v>
      </c>
    </row>
    <row r="21" spans="1:6" ht="115.2" x14ac:dyDescent="0.3">
      <c r="A21" s="10" t="s">
        <v>102</v>
      </c>
      <c r="B21" s="44" t="s">
        <v>69</v>
      </c>
      <c r="C21" s="87" t="s">
        <v>103</v>
      </c>
      <c r="D21" s="7" t="str">
        <f>_xlfn.XLOOKUP(A21,'All Courses'!A:A,'All Courses'!D:D,"Not found")</f>
        <v>course</v>
      </c>
      <c r="E21" s="7" t="str">
        <f>_xlfn.XLOOKUP(A21,'OJT IDs'!A:A,'OJT IDs'!N:N,"Not found")</f>
        <v>IHG0065384-OJT</v>
      </c>
      <c r="F21" s="9" t="str">
        <f>_xlfn.XLOOKUP(E21,'OJT Links'!E:E,'OJT Links'!H:H,"Not found")</f>
        <v>https://mylearning.sumtotal.host/core/pillarRedirect?relyingParty=LM&amp;url=app%2Fmanagement%2FLMS_ActDetails.aspx%3FActivityId%3D596786%26UserMode%3D0</v>
      </c>
    </row>
    <row r="22" spans="1:6" ht="17.399999999999999" x14ac:dyDescent="0.3">
      <c r="A22" s="86"/>
      <c r="B22" s="44"/>
      <c r="C22" s="42"/>
      <c r="D22" s="7"/>
    </row>
    <row r="23" spans="1:6" x14ac:dyDescent="0.3">
      <c r="C23" s="77"/>
      <c r="D23" s="77"/>
    </row>
    <row r="24" spans="1:6" x14ac:dyDescent="0.3">
      <c r="D24" s="81"/>
    </row>
    <row r="25" spans="1:6" x14ac:dyDescent="0.3">
      <c r="D25" s="81"/>
    </row>
    <row r="26" spans="1:6" x14ac:dyDescent="0.3">
      <c r="D26" s="77"/>
    </row>
    <row r="27" spans="1:6" x14ac:dyDescent="0.3">
      <c r="D27" s="77"/>
    </row>
    <row r="28" spans="1:6" x14ac:dyDescent="0.3">
      <c r="D28" s="43"/>
    </row>
    <row r="29" spans="1:6" x14ac:dyDescent="0.3">
      <c r="D29" s="81"/>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3"/>
    </row>
    <row r="36" spans="4:4" x14ac:dyDescent="0.3">
      <c r="D36" s="84"/>
    </row>
    <row r="37" spans="4:4" x14ac:dyDescent="0.3">
      <c r="D37" s="81"/>
    </row>
    <row r="38" spans="4:4" x14ac:dyDescent="0.3">
      <c r="D38" s="77"/>
    </row>
    <row r="39" spans="4:4" x14ac:dyDescent="0.3">
      <c r="D39" s="81"/>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70B33716-9C87-47DE-A8C7-CC42B5E25BC9}"/>
    <hyperlink ref="C5" r:id="rId2" xr:uid="{765B60B4-B103-41C9-AA63-1CB89082F2D3}"/>
    <hyperlink ref="C4" r:id="rId3" xr:uid="{8696D2DA-A1BD-4D45-9DF6-FB6059E16007}"/>
    <hyperlink ref="C10" r:id="rId4" xr:uid="{610FC757-5581-41E4-A500-ABF76FF0B131}"/>
    <hyperlink ref="C11" r:id="rId5" xr:uid="{EECFDDA6-78A8-4B6E-94E6-CB9721C44295}"/>
    <hyperlink ref="C9" r:id="rId6" xr:uid="{92C0D695-6FAC-4BAE-A08F-6112D9C7F550}"/>
    <hyperlink ref="C12" r:id="rId7" xr:uid="{23784C49-75F2-4D41-8E1F-624D873B34C0}"/>
    <hyperlink ref="C13" r:id="rId8" xr:uid="{131709C5-29AC-482C-8CDC-BE9CA5DE6833}"/>
    <hyperlink ref="C14" r:id="rId9" display="Link" xr:uid="{35C7DE2C-530A-4164-AF49-4794655E6A68}"/>
    <hyperlink ref="C15" r:id="rId10" xr:uid="{4762FEFB-C3D6-44D0-9F3A-E651B5BD8A00}"/>
    <hyperlink ref="C17" r:id="rId11" xr:uid="{5D8E9E92-24BE-4D83-A455-5BEB7943BD30}"/>
    <hyperlink ref="C18" r:id="rId12" xr:uid="{A145AB30-9974-4845-980F-50FF79BDE34E}"/>
    <hyperlink ref="C21" r:id="rId13" xr:uid="{34080E30-CE09-46C3-A4B3-A4D09C668547}"/>
  </hyperlinks>
  <pageMargins left="0.7" right="0.7" top="0.75" bottom="0.75" header="0.3" footer="0.3"/>
  <pageSetup paperSize="17" orientation="portrait" r:id="rId1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61410-6A72-4B99-A036-CCF5587FC1EA}">
  <dimension ref="A1:F42"/>
  <sheetViews>
    <sheetView tabSelected="1" zoomScale="85" zoomScaleNormal="85" workbookViewId="0">
      <pane xSplit="1" ySplit="1" topLeftCell="B2" activePane="bottomRight" state="frozen"/>
      <selection pane="topRight" activeCell="N75" sqref="N75"/>
      <selection pane="bottomLeft" activeCell="N75" sqref="N75"/>
      <selection pane="bottomRight" activeCell="A6" sqref="A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39"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477</v>
      </c>
      <c r="B2" s="44" t="s">
        <v>58</v>
      </c>
      <c r="C2" s="13" t="s">
        <v>66</v>
      </c>
      <c r="D2" s="7" t="s">
        <v>205</v>
      </c>
      <c r="E2" s="7" t="s">
        <v>380</v>
      </c>
      <c r="F2" s="9" t="str">
        <f>_xlfn.XLOOKUP(E2,'OJT Links'!E:E,'OJT Links'!H:H,"Not found")</f>
        <v>https://mylearning.sumtotal.host/core/pillarRedirect?relyingParty=LM&amp;url=app%2Fmanagement%2FLMS_ActDetails.aspx%3FActivityId%3D595000%26UserMode%3D0</v>
      </c>
    </row>
    <row r="3" spans="1:6" ht="64.95" customHeight="1" x14ac:dyDescent="0.3">
      <c r="A3" s="10" t="s">
        <v>379</v>
      </c>
      <c r="B3" s="44" t="s">
        <v>58</v>
      </c>
      <c r="C3" s="13" t="s">
        <v>66</v>
      </c>
      <c r="D3" s="7" t="s">
        <v>205</v>
      </c>
      <c r="E3" s="7" t="s">
        <v>381</v>
      </c>
      <c r="F3" s="9" t="str">
        <f>_xlfn.XLOOKUP(E3,'OJT Links'!E:E,'OJT Links'!H:H,"Not found")</f>
        <v>https://mylearning.sumtotal.host/core/pillarRedirect?relyingParty=LM&amp;url=app%2Fmanagement%2FLMS_ActDetails.aspx%3FActivityId%3D595001%26UserMode%3D0</v>
      </c>
    </row>
    <row r="4" spans="1:6" ht="64.95" customHeight="1" x14ac:dyDescent="0.3">
      <c r="A4" s="38" t="s">
        <v>105</v>
      </c>
      <c r="B4" s="44" t="s">
        <v>58</v>
      </c>
      <c r="C4" s="13" t="s">
        <v>66</v>
      </c>
      <c r="D4" s="7" t="str">
        <f>_xlfn.XLOOKUP(A4,'All Courses'!A:A,'All Courses'!D:D,"Not found")</f>
        <v xml:space="preserve">course </v>
      </c>
      <c r="E4" s="7" t="str">
        <f>_xlfn.XLOOKUP(A4,'OJT IDs'!A:A,'OJT IDs'!N:N,"Not found")</f>
        <v>IHG0057306-OJT</v>
      </c>
      <c r="F4" s="9" t="str">
        <f>_xlfn.XLOOKUP(E4,'OJT Links'!E:E,'OJT Links'!H:H,"Not found")</f>
        <v>https://mylearning.sumtotal.host/core/pillarRedirect?relyingParty=LM&amp;url=app%2Fmanagement%2FLMS_ActDetails.aspx%3FActivityId%3D595002%26UserMode%3D0</v>
      </c>
    </row>
    <row r="5" spans="1:6" ht="64.95" customHeight="1" x14ac:dyDescent="0.3">
      <c r="A5" s="10" t="s">
        <v>106</v>
      </c>
      <c r="B5" s="44" t="s">
        <v>58</v>
      </c>
      <c r="C5" s="13" t="s">
        <v>107</v>
      </c>
      <c r="D5" s="7" t="str">
        <f>_xlfn.XLOOKUP(A5,'All Courses'!A:A,'All Courses'!D:D,"Not found")</f>
        <v>Resource</v>
      </c>
      <c r="E5" s="7" t="str">
        <f>_xlfn.XLOOKUP(A5,'OJT IDs'!A:A,'OJT IDs'!N:N,"Not found")</f>
        <v>IHG0048244-OJT</v>
      </c>
      <c r="F5" s="9" t="str">
        <f>_xlfn.XLOOKUP(E5,'OJT Links'!E:E,'OJT Links'!H:H,"Not found")</f>
        <v>https://mylearning.sumtotal.host/core/pillarRedirect?relyingParty=LM&amp;url=app%2Fmanagement%2FLMS_ActDetails.aspx%3FActivityId%3D595003%26UserMode%3D0</v>
      </c>
    </row>
    <row r="6" spans="1:6" ht="28.8" x14ac:dyDescent="0.3">
      <c r="A6" s="10" t="s">
        <v>577</v>
      </c>
      <c r="B6" s="44" t="s">
        <v>58</v>
      </c>
      <c r="C6" s="154"/>
      <c r="D6" s="7" t="str">
        <f>_xlfn.XLOOKUP(A6,'All Courses'!A:A,'All Courses'!D:D,"Not found")</f>
        <v>course</v>
      </c>
      <c r="E6" s="7" t="str">
        <f>_xlfn.XLOOKUP(A6,'OJT IDs'!A:A,'OJT IDs'!N:N,"Not found")</f>
        <v>IHG057363-OJT</v>
      </c>
      <c r="F6" s="9" t="str">
        <f>_xlfn.XLOOKUP(E6,'OJT Links'!E:E,'OJT Links'!H:H,"Not found")</f>
        <v>https://mylearning.sumtotal.host/core/pillarRedirect?relyingParty=LM&amp;url=app%2Fmanagement%2FLMS_ActDetails.aspx%3FActivityId%3D595004%26UserMode%3D0</v>
      </c>
    </row>
    <row r="7" spans="1:6" ht="115.2" x14ac:dyDescent="0.3">
      <c r="A7" s="10" t="s">
        <v>574</v>
      </c>
      <c r="B7" s="44" t="s">
        <v>58</v>
      </c>
      <c r="C7" s="12" t="s">
        <v>59</v>
      </c>
      <c r="D7" s="7" t="str">
        <f>_xlfn.XLOOKUP(A7,'All Courses'!A:A,'All Courses'!D:D,"Not found")</f>
        <v>course</v>
      </c>
      <c r="E7" s="7" t="str">
        <f>_xlfn.XLOOKUP(A7,'OJT IDs'!A:A,'OJT IDs'!N:N,"Not found")</f>
        <v>IHG0061303-OJT</v>
      </c>
      <c r="F7" s="9" t="str">
        <f>_xlfn.XLOOKUP(E7,'OJT Links'!E:E,'OJT Links'!H:H,"Not found")</f>
        <v>https://mylearning.sumtotal.host/core/pillarRedirect?relyingParty=LM&amp;url=app%2Fmanagement%2FLMS_ActDetails.aspx%3FActivityId%3D595005%26UserMode%3D0</v>
      </c>
    </row>
    <row r="8" spans="1:6" ht="17.399999999999999" x14ac:dyDescent="0.3">
      <c r="A8" s="10" t="s">
        <v>60</v>
      </c>
      <c r="B8" s="10" t="s">
        <v>61</v>
      </c>
      <c r="C8" s="42"/>
      <c r="D8" s="7"/>
      <c r="E8" s="7" t="str">
        <f>_xlfn.XLOOKUP(A8,'OJT IDs'!A:A,'OJT IDs'!N:N,"Not found")</f>
        <v>IHG1885862-OJT</v>
      </c>
      <c r="F8" s="9" t="str">
        <f>_xlfn.XLOOKUP(E8,'OJT Links'!E:E,'OJT Links'!H:H,"Not found")</f>
        <v>https://mylearning.sumtotal.host/core/pillarRedirect?relyingParty=LM&amp;url=app%2Fmanagement%2FLMS_ActDetails.aspx%3FActivityId%3D601671%26UserMode%3D0</v>
      </c>
    </row>
    <row r="9" spans="1:6" s="146" customFormat="1" ht="100.8" x14ac:dyDescent="0.3">
      <c r="A9" s="128" t="s">
        <v>62</v>
      </c>
      <c r="B9" s="147" t="s">
        <v>58</v>
      </c>
      <c r="C9" s="143" t="s">
        <v>63</v>
      </c>
      <c r="D9" s="144" t="str">
        <f>_xlfn.XLOOKUP(A9,'All Courses'!A:A,'All Courses'!D:D,"Not found")</f>
        <v>Resource</v>
      </c>
      <c r="E9" s="144" t="str">
        <f>_xlfn.XLOOKUP(A9,'OJT IDs'!A:A,'OJT IDs'!N:N,"Not found")</f>
        <v>IHG0047626-OJT</v>
      </c>
      <c r="F9" s="145" t="str">
        <f>_xlfn.XLOOKUP(E9,'OJT Links'!E:E,'OJT Links'!H:H,"Not found")</f>
        <v>Not found</v>
      </c>
    </row>
    <row r="10" spans="1:6" ht="28.8" x14ac:dyDescent="0.3">
      <c r="A10" s="10" t="s">
        <v>64</v>
      </c>
      <c r="B10" s="10" t="s">
        <v>65</v>
      </c>
      <c r="C10" s="13" t="s">
        <v>66</v>
      </c>
      <c r="D10" s="7" t="str">
        <f>_xlfn.XLOOKUP(A10,'All Courses'!A:A,'All Courses'!D:D,"Not found")</f>
        <v>course</v>
      </c>
      <c r="E10" s="7" t="str">
        <f>_xlfn.XLOOKUP(A10,'OJT IDs'!A:A,'OJT IDs'!N:N,"Not found")</f>
        <v>IHG9191264-OJT</v>
      </c>
      <c r="F10" s="9" t="str">
        <f>_xlfn.XLOOKUP(E10,'OJT Links'!E:E,'OJT Links'!H:H,"Not found")</f>
        <v>https://mylearning.sumtotal.host/core/pillarRedirect?relyingParty=LM&amp;url=app%2Fmanagement%2FLMS_ActDetails.aspx%3FActivityId%3D601724%26UserMode%3D0</v>
      </c>
    </row>
    <row r="11" spans="1:6" ht="43.2" x14ac:dyDescent="0.3">
      <c r="A11" s="10" t="s">
        <v>67</v>
      </c>
      <c r="B11" s="10" t="s">
        <v>68</v>
      </c>
      <c r="C11" s="42"/>
      <c r="D11" s="7"/>
      <c r="E11" s="7" t="str">
        <f>_xlfn.XLOOKUP(A11,'OJT IDs'!A:A,'OJT IDs'!N:N,"Not found")</f>
        <v>IHG8611503-OJT</v>
      </c>
      <c r="F11" s="9" t="str">
        <f>_xlfn.XLOOKUP(E11,'OJT Links'!E:E,'OJT Links'!H:H,"Not found")</f>
        <v>https://mylearning.sumtotal.host/core/pillarRedirect?relyingParty=LM&amp;url=app%2Fmanagement%2FLMS_ActDetails.aspx%3FActivityId%3D601740%26UserMode%3D0</v>
      </c>
    </row>
    <row r="12" spans="1:6" ht="115.2" x14ac:dyDescent="0.3">
      <c r="A12" s="10" t="s">
        <v>399</v>
      </c>
      <c r="B12" s="44" t="s">
        <v>69</v>
      </c>
      <c r="C12" s="42" t="s">
        <v>70</v>
      </c>
      <c r="D12" s="7" t="str">
        <f>_xlfn.XLOOKUP(A12,'All Courses'!A:A,'All Courses'!D:D,"Not found")</f>
        <v>course</v>
      </c>
      <c r="E12" s="7" t="str">
        <f>_xlfn.XLOOKUP(A12,'OJT IDs'!A:A,'OJT IDs'!N:N,"Not found")</f>
        <v>IHG0049491-OJT</v>
      </c>
      <c r="F12" s="9" t="str">
        <f>_xlfn.XLOOKUP(E12,'OJT Links'!E:E,'OJT Links'!H:H,"Not found")</f>
        <v>https://mylearning.sumtotal.host/core/pillarRedirect?relyingParty=LM&amp;url=app%2Fmanagement%2FLMS_ActDetails.aspx%3FActivityId%3D595027%26UserMode%3D0</v>
      </c>
    </row>
    <row r="13" spans="1:6" ht="115.2" x14ac:dyDescent="0.3">
      <c r="A13" s="10" t="s">
        <v>71</v>
      </c>
      <c r="B13" s="44" t="s">
        <v>58</v>
      </c>
      <c r="C13" s="43" t="s">
        <v>72</v>
      </c>
      <c r="D13" s="7" t="str">
        <f>_xlfn.XLOOKUP(A13,'All Courses'!A:A,'All Courses'!D:D,"Not found")</f>
        <v>course</v>
      </c>
      <c r="E13" s="7" t="str">
        <f>_xlfn.XLOOKUP(A13,'OJT IDs'!A:A,'OJT IDs'!N:N,"Not found")</f>
        <v>IHG0054667-OJT</v>
      </c>
      <c r="F13" s="9" t="str">
        <f>_xlfn.XLOOKUP(E13,'OJT Links'!E:E,'OJT Links'!H:H,"Not found")</f>
        <v>https://mylearning.sumtotal.host/core/pillarRedirect?relyingParty=LM&amp;url=app%2Fmanagement%2FLMS_ActDetails.aspx%3FActivityId%3D595030%26UserMode%3D0</v>
      </c>
    </row>
    <row r="14" spans="1:6" ht="57.6" x14ac:dyDescent="0.3">
      <c r="A14" s="10" t="s">
        <v>556</v>
      </c>
      <c r="B14" s="44" t="s">
        <v>69</v>
      </c>
      <c r="C14" s="13" t="s">
        <v>66</v>
      </c>
      <c r="D14" s="7" t="str">
        <f>_xlfn.XLOOKUP(A14,'All Courses'!A:A,'All Courses'!D:D,"Not found")</f>
        <v>course</v>
      </c>
      <c r="E14" s="7" t="str">
        <f>_xlfn.XLOOKUP(A14,'OJT IDs'!A:A,'OJT IDs'!N:N,"Not found")</f>
        <v>IHG7376524-OJT</v>
      </c>
      <c r="F14" s="9" t="str">
        <f>_xlfn.XLOOKUP(E14,'OJT Links'!E:E,'OJT Links'!H:H,"Not found")</f>
        <v>https://mylearning.sumtotal.host/core/pillarRedirect?relyingParty=LM&amp;url=app%2Fmanagement%2FLMS_ActDetails.aspx%3FActivityId%3D468097%26UserMode%3D0</v>
      </c>
    </row>
    <row r="15" spans="1:6" ht="57.6" x14ac:dyDescent="0.3">
      <c r="A15" s="10" t="s">
        <v>73</v>
      </c>
      <c r="B15" s="44" t="s">
        <v>69</v>
      </c>
      <c r="C15" s="13" t="s">
        <v>66</v>
      </c>
      <c r="D15" s="7" t="str">
        <f>_xlfn.XLOOKUP(A15,'All Courses'!A:A,'All Courses'!D:D,"Not found")</f>
        <v>course</v>
      </c>
      <c r="E15" s="7" t="str">
        <f>_xlfn.XLOOKUP(A15,'OJT IDs'!A:A,'OJT IDs'!N:N,"Not found")</f>
        <v>IHG1227263-OJT</v>
      </c>
      <c r="F15" s="9" t="str">
        <f>_xlfn.XLOOKUP(E15,'OJT Links'!E:E,'OJT Links'!H:H,"Not found")</f>
        <v>https://mylearning.sumtotal.host/core/pillarRedirect?relyingParty=LM&amp;url=app%2Fmanagement%2FLMS_ActDetails.aspx%3FActivityId%3D595028%26UserMode%3D0</v>
      </c>
    </row>
    <row r="16" spans="1:6" ht="57.6" x14ac:dyDescent="0.3">
      <c r="A16" s="11" t="s">
        <v>458</v>
      </c>
      <c r="B16" s="44" t="s">
        <v>69</v>
      </c>
      <c r="C16" s="13" t="s">
        <v>66</v>
      </c>
      <c r="D16" s="7" t="str">
        <f>_xlfn.XLOOKUP(A16,'All Courses'!A:A,'All Courses'!D:D,"Not found")</f>
        <v>course</v>
      </c>
      <c r="E16" s="7" t="str">
        <f>_xlfn.XLOOKUP(A16,'OJT IDs'!A:A,'OJT IDs'!N:N,"Not found")</f>
        <v>IHG052185-OJT</v>
      </c>
      <c r="F16" s="9" t="str">
        <f>_xlfn.XLOOKUP(E16,'OJT Links'!E:E,'OJT Links'!H:H,"Not found")</f>
        <v>https://mylearning.sumtotal.host/core/pillarRedirect?relyingParty=LM&amp;url=app%2Fmanagement%2FLMS_ActDetails.aspx%3FActivityId%3D595029%26UserMode%3D0</v>
      </c>
    </row>
    <row r="17" spans="1:6" ht="28.8" x14ac:dyDescent="0.3">
      <c r="A17" s="10" t="s">
        <v>74</v>
      </c>
      <c r="B17" s="44" t="s">
        <v>58</v>
      </c>
      <c r="C17" s="13" t="s">
        <v>66</v>
      </c>
      <c r="D17" s="7" t="str">
        <f>_xlfn.XLOOKUP(A17,'All Courses'!A:A,'All Courses'!D:D,"Not found")</f>
        <v>course</v>
      </c>
      <c r="E17" s="7" t="str">
        <f>_xlfn.XLOOKUP(A17,'OJT IDs'!A:A,'OJT IDs'!N:N,"Not found")</f>
        <v>IHG0047625-OJT</v>
      </c>
      <c r="F17" s="9" t="str">
        <f>_xlfn.XLOOKUP(E17,'OJT Links'!E:E,'OJT Links'!H:H,"Not found")</f>
        <v>https://mylearning.sumtotal.host/core/pillarRedirect?relyingParty=LM&amp;url=app%2Fmanagement%2FLMS_ActDetails.aspx%3FActivityId%3D596770%26UserMode%3D0</v>
      </c>
    </row>
    <row r="18" spans="1:6" ht="57.6" x14ac:dyDescent="0.3">
      <c r="A18" s="10" t="s">
        <v>404</v>
      </c>
      <c r="B18" s="44" t="s">
        <v>69</v>
      </c>
      <c r="C18" s="13" t="s">
        <v>66</v>
      </c>
      <c r="D18" s="7" t="str">
        <f>_xlfn.XLOOKUP(A18,'All Courses'!A:A,'All Courses'!D:D,"Not found")</f>
        <v>course</v>
      </c>
      <c r="E18" s="7" t="str">
        <f>_xlfn.XLOOKUP(A18,'OJT IDs'!A:A,'OJT IDs'!N:N,"Not found")</f>
        <v>IHG0056403-OJT</v>
      </c>
      <c r="F18" s="9" t="str">
        <f>_xlfn.XLOOKUP(E18,'OJT Links'!E:E,'OJT Links'!H:H,"Not found")</f>
        <v>https://mylearning.sumtotal.host/core/pillarRedirect?relyingParty=LM&amp;url=app%2Fmanagement%2FLMS_ActDetails.aspx%3FActivityId%3D596772%26UserMode%3D0</v>
      </c>
    </row>
    <row r="19" spans="1:6" ht="100.8" x14ac:dyDescent="0.3">
      <c r="A19" s="10" t="s">
        <v>408</v>
      </c>
      <c r="B19" s="44" t="s">
        <v>69</v>
      </c>
      <c r="C19" s="13" t="s">
        <v>85</v>
      </c>
      <c r="D19" s="7" t="str">
        <f>_xlfn.XLOOKUP(A19,'All Courses'!A:A,'All Courses'!D:D,"Not found")</f>
        <v>course</v>
      </c>
      <c r="E19" s="7" t="str">
        <f>_xlfn.XLOOKUP(A19,'OJT IDs'!A:A,'OJT IDs'!N:N,"Not found")</f>
        <v>IHG0057043-v2024-OJT</v>
      </c>
      <c r="F19" s="9" t="str">
        <f>_xlfn.XLOOKUP(E19,'OJT Links'!E:E,'OJT Links'!H:H,"Not found")</f>
        <v>https://mylearning.sumtotal.host/core/pillarRedirect?relyingParty=LM&amp;url=app%2Fmanagement%2FLMS_ActDetails.aspx%3FActivityId%3D468091%26UserMode%3D0</v>
      </c>
    </row>
    <row r="20" spans="1:6" ht="57.6" x14ac:dyDescent="0.3">
      <c r="A20" s="10" t="s">
        <v>470</v>
      </c>
      <c r="B20" s="44" t="s">
        <v>69</v>
      </c>
      <c r="C20" s="13" t="s">
        <v>66</v>
      </c>
      <c r="D20" s="7" t="str">
        <f>_xlfn.XLOOKUP(A20,'All Courses'!A:A,'All Courses'!D:D,"Not found")</f>
        <v>course</v>
      </c>
      <c r="E20" s="7" t="str">
        <f>_xlfn.XLOOKUP(A20,'OJT IDs'!A:A,'OJT IDs'!N:N,"Not found")</f>
        <v>IHG056045-OJT</v>
      </c>
      <c r="F20" s="9" t="str">
        <f>_xlfn.XLOOKUP(E20,'OJT Links'!E:E,'OJT Links'!H:H,"Not found")</f>
        <v>https://mylearning.sumtotal.host/core/pillarRedirect?relyingParty=LM&amp;url=app%2Fmanagement%2FLMS_ActDetails.aspx%3FActivityId%3D468095%26UserMode%3D0</v>
      </c>
    </row>
    <row r="21" spans="1:6" ht="28.8" x14ac:dyDescent="0.3">
      <c r="A21" s="10" t="s">
        <v>79</v>
      </c>
      <c r="B21" s="10" t="s">
        <v>80</v>
      </c>
      <c r="C21" s="42"/>
      <c r="D21" s="7"/>
      <c r="E21" s="7" t="str">
        <f>_xlfn.XLOOKUP(A21,'OJT IDs'!A:A,'OJT IDs'!N:N,"Not found")</f>
        <v>IHG5969164-OJT</v>
      </c>
      <c r="F21" s="9" t="str">
        <f>_xlfn.XLOOKUP(E21,'OJT Links'!E:E,'OJT Links'!H:H,"Not found")</f>
        <v>https://mylearning.sumtotal.host/core/pillarRedirect?relyingParty=LM&amp;url=app%2Fmanagement%2FLMS_ActDetails.aspx%3FActivityId%3D602920%26UserMode%3D0</v>
      </c>
    </row>
    <row r="22" spans="1:6" ht="57.6" x14ac:dyDescent="0.3">
      <c r="A22" s="10" t="s">
        <v>81</v>
      </c>
      <c r="B22" s="44" t="s">
        <v>69</v>
      </c>
      <c r="C22" s="13" t="s">
        <v>66</v>
      </c>
      <c r="D22" s="7" t="str">
        <f>_xlfn.XLOOKUP(A22,'All Courses'!A:A,'All Courses'!D:D,"Not found")</f>
        <v>course</v>
      </c>
      <c r="E22" s="7" t="str">
        <f>_xlfn.XLOOKUP(A22,'OJT IDs'!A:A,'OJT IDs'!N:N,"Not found")</f>
        <v>IHG051263-OJT</v>
      </c>
      <c r="F22" s="9" t="str">
        <f>_xlfn.XLOOKUP(E22,'OJT Links'!E:E,'OJT Links'!H:H,"Not found")</f>
        <v>https://mylearning.sumtotal.host/core/pillarRedirect?relyingParty=LM&amp;url=app%2Fmanagement%2FLMS_ActDetails.aspx%3FActivityId%3D468089%26UserMode%3D0</v>
      </c>
    </row>
    <row r="23" spans="1:6" s="146" customFormat="1" ht="28.8" x14ac:dyDescent="0.3">
      <c r="A23" s="128" t="s">
        <v>82</v>
      </c>
      <c r="B23" s="147" t="s">
        <v>58</v>
      </c>
      <c r="C23" s="143" t="s">
        <v>66</v>
      </c>
      <c r="D23" s="144" t="str">
        <f>_xlfn.XLOOKUP(A23,'All Courses'!A:A,'All Courses'!D:D,"Not found")</f>
        <v>course</v>
      </c>
      <c r="E23" s="144" t="str">
        <f>_xlfn.XLOOKUP(A23,'OJT IDs'!A:A,'OJT IDs'!N:N,"Not found")</f>
        <v>IHG058044-OJT</v>
      </c>
      <c r="F23" s="145" t="str">
        <f>_xlfn.XLOOKUP(E23,'OJT Links'!E:E,'OJT Links'!H:H,"Not found")</f>
        <v>Not found</v>
      </c>
    </row>
    <row r="24" spans="1:6" ht="17.399999999999999" x14ac:dyDescent="0.3">
      <c r="A24" s="10" t="s">
        <v>83</v>
      </c>
      <c r="B24" s="44" t="s">
        <v>84</v>
      </c>
      <c r="C24" s="42"/>
      <c r="D24" s="7"/>
      <c r="E24" s="7" t="str">
        <f>_xlfn.XLOOKUP(A24,'OJT IDs'!A:A,'OJT IDs'!N:N,"Not found")</f>
        <v>IHG8342629-OJT</v>
      </c>
      <c r="F24" s="9" t="str">
        <f>_xlfn.XLOOKUP(E24,'OJT Links'!E:E,'OJT Links'!H:H,"Not found")</f>
        <v>https://mylearning.sumtotal.host/core/pillarRedirect?relyingParty=LM&amp;url=app%2Fmanagement%2FLMS_ActDetails.aspx%3FActivityId%3D603028%26UserMode%3D0</v>
      </c>
    </row>
    <row r="25" spans="1:6" ht="115.2" x14ac:dyDescent="0.3">
      <c r="A25" s="10" t="s">
        <v>108</v>
      </c>
      <c r="B25" s="44" t="s">
        <v>69</v>
      </c>
      <c r="C25" s="13" t="s">
        <v>109</v>
      </c>
      <c r="D25" s="7" t="str">
        <f>_xlfn.XLOOKUP(A25,'All Courses'!A:A,'All Courses'!D:D,"Not found")</f>
        <v>course</v>
      </c>
      <c r="E25" s="7" t="str">
        <f>_xlfn.XLOOKUP(A25,'OJT IDs'!A:A,'OJT IDs'!N:N,"Not found")</f>
        <v>IHG051234-OJT</v>
      </c>
      <c r="F25" s="9" t="str">
        <f>_xlfn.XLOOKUP(E25,'OJT Links'!E:E,'OJT Links'!H:H,"Not found")</f>
        <v>https://mylearning.sumtotal.host/core/pillarRedirect?relyingParty=LM&amp;url=app%2Fmanagement%2FLMS_ActDetails.aspx%3FActivityId%3D593215%26UserMode%3D0</v>
      </c>
    </row>
    <row r="26" spans="1:6" ht="115.2" x14ac:dyDescent="0.3">
      <c r="A26" s="10" t="s">
        <v>110</v>
      </c>
      <c r="B26" s="44" t="s">
        <v>69</v>
      </c>
      <c r="C26" s="10" t="s">
        <v>111</v>
      </c>
      <c r="D26" s="7" t="str">
        <f>_xlfn.XLOOKUP(A26,'All Courses'!A:A,'All Courses'!D:D,"Not found")</f>
        <v>course</v>
      </c>
      <c r="E26" s="7" t="str">
        <f>_xlfn.XLOOKUP(A26,'OJT IDs'!A:A,'OJT IDs'!N:N,"Not found")</f>
        <v>IHG057984-OJT</v>
      </c>
      <c r="F26" s="9" t="str">
        <f>_xlfn.XLOOKUP(E26,'OJT Links'!E:E,'OJT Links'!H:H,"Not found")</f>
        <v>https://mylearning.sumtotal.host/core/pillarRedirect?relyingParty=LM&amp;url=app%2Fmanagement%2FLMS_ActDetails.aspx%3FActivityId%3D593209%26UserMode%3D0</v>
      </c>
    </row>
    <row r="27" spans="1:6" x14ac:dyDescent="0.3">
      <c r="D27" s="77"/>
    </row>
    <row r="28" spans="1:6" x14ac:dyDescent="0.3">
      <c r="D28" s="77"/>
    </row>
    <row r="29" spans="1:6" x14ac:dyDescent="0.3">
      <c r="D29" s="43"/>
    </row>
    <row r="30" spans="1:6" x14ac:dyDescent="0.3">
      <c r="D30" s="81"/>
    </row>
    <row r="31" spans="1:6" x14ac:dyDescent="0.3">
      <c r="D31" s="81"/>
    </row>
    <row r="32" spans="1:6" x14ac:dyDescent="0.3">
      <c r="D32" s="81"/>
    </row>
    <row r="33" spans="4:4" x14ac:dyDescent="0.3">
      <c r="D33" s="81"/>
    </row>
    <row r="34" spans="4:4" x14ac:dyDescent="0.3">
      <c r="D34" s="81"/>
    </row>
    <row r="35" spans="4:4" x14ac:dyDescent="0.3">
      <c r="D35" s="81"/>
    </row>
    <row r="36" spans="4:4" x14ac:dyDescent="0.3">
      <c r="D36" s="83"/>
    </row>
    <row r="37" spans="4:4" x14ac:dyDescent="0.3">
      <c r="D37" s="84"/>
    </row>
    <row r="38" spans="4:4" x14ac:dyDescent="0.3">
      <c r="D38" s="81"/>
    </row>
    <row r="39" spans="4:4" x14ac:dyDescent="0.3">
      <c r="D39" s="77"/>
    </row>
    <row r="40" spans="4:4" x14ac:dyDescent="0.3">
      <c r="D40" s="81"/>
    </row>
    <row r="41" spans="4:4" x14ac:dyDescent="0.3">
      <c r="D41" s="81"/>
    </row>
    <row r="42" spans="4:4" x14ac:dyDescent="0.3">
      <c r="D42" s="85"/>
    </row>
  </sheetData>
  <autoFilter ref="A1:F4" xr:uid="{879CC6BF-DA14-4068-B0CE-7832347512F9}">
    <sortState xmlns:xlrd2="http://schemas.microsoft.com/office/spreadsheetml/2017/richdata2" ref="A2:F5">
      <sortCondition ref="A1:A5"/>
    </sortState>
  </autoFilter>
  <hyperlinks>
    <hyperlink ref="C2" r:id="rId1" xr:uid="{FA27BC0E-2478-4B87-B870-27FDE85F9EFC}"/>
    <hyperlink ref="C4" r:id="rId2" xr:uid="{9D7067F9-B512-4D01-A1B9-47702A925FCD}"/>
    <hyperlink ref="C5" r:id="rId3" xr:uid="{8BB812E1-39A3-48D6-A91C-F9A39DBBF6D4}"/>
    <hyperlink ref="C7" r:id="rId4" xr:uid="{C36C01B9-2671-47A0-B902-27C2C96FF74A}"/>
    <hyperlink ref="C10" r:id="rId5" xr:uid="{CA080286-367F-40A0-ABF1-C918E08B1ACA}"/>
    <hyperlink ref="C9" r:id="rId6" xr:uid="{B9B0F75E-7D3E-4ADB-90E2-FE8B5413C22E}"/>
    <hyperlink ref="C15" r:id="rId7" xr:uid="{ABC55A15-3375-4B86-A399-86B6D463CA05}"/>
    <hyperlink ref="C16" r:id="rId8" xr:uid="{BB5024F9-E7BD-4FA4-B8D4-0E33632777BF}"/>
    <hyperlink ref="C14" r:id="rId9" xr:uid="{A41E8BC5-65CC-46EE-A9D4-0B71D6EDE582}"/>
    <hyperlink ref="C17" r:id="rId10" xr:uid="{6A8F9090-1DB4-4AD4-AEB4-A01E2255A66E}"/>
    <hyperlink ref="C18" r:id="rId11" xr:uid="{4E0894C2-B261-4136-AC98-C4F1B06977CE}"/>
    <hyperlink ref="C19" r:id="rId12" display="Link" xr:uid="{791CB064-E9D3-4B9C-8530-900A0FE09009}"/>
    <hyperlink ref="C20" r:id="rId13" xr:uid="{9A91C899-AF07-43F5-95D3-7B9D315F2C9B}"/>
    <hyperlink ref="C22" r:id="rId14" xr:uid="{BEC26902-7242-4BBC-86B5-11BD3441695C}"/>
    <hyperlink ref="C23" r:id="rId15" xr:uid="{9E4BB9E6-F203-43FA-8B8F-84B92EB15CE8}"/>
    <hyperlink ref="C25" r:id="rId16" xr:uid="{F966ACE1-823E-4CBD-AF5C-014ADD378777}"/>
    <hyperlink ref="C3" r:id="rId17" display="https://mylearning.sumtotal.host/core/pillarRedirect?relyingParty=LM&amp;url=app%2Fmanagement%2FLMS_ActDetails.aspx%3FActivityId%3D5814%26UserMode%3D0" xr:uid="{C9E096E5-2EA6-4784-BB5A-6295E9734E7A}"/>
  </hyperlinks>
  <pageMargins left="0.7" right="0.7" top="0.75" bottom="0.75" header="0.3" footer="0.3"/>
  <pageSetup paperSize="17" orientation="portrait" r:id="rId1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C34E0-8F4B-4042-8E24-E93A3AF05F1B}">
  <dimension ref="A1:F41"/>
  <sheetViews>
    <sheetView zoomScale="85" zoomScaleNormal="85" workbookViewId="0">
      <pane xSplit="1" ySplit="1" topLeftCell="B19"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10" t="s">
        <v>112</v>
      </c>
      <c r="B3" s="10" t="s">
        <v>113</v>
      </c>
      <c r="C3" s="13" t="s">
        <v>114</v>
      </c>
      <c r="D3" s="7" t="str">
        <f>_xlfn.XLOOKUP(A3,'All Courses'!A:A,'All Courses'!D:D,"Not found")</f>
        <v>Resource</v>
      </c>
      <c r="E3" s="7" t="str">
        <f>_xlfn.XLOOKUP(A3,'OJT IDs'!A:A,'OJT IDs'!N:N,"Not found")</f>
        <v>IHG2702277-OJT</v>
      </c>
      <c r="F3" s="9" t="str">
        <f>_xlfn.XLOOKUP(E3,'OJT Links'!E:E,'OJT Links'!H:H,"Not found")</f>
        <v>https://mylearning.sumtotal.host/core/pillarRedirect?relyingParty=LM&amp;url=app%2Fmanagement%2FLMS_ActDetails.aspx%3FActivityId%3D601660%26UserMode%3D0</v>
      </c>
    </row>
    <row r="4" spans="1:6" ht="64.95" customHeight="1" x14ac:dyDescent="0.3">
      <c r="A4" s="10" t="s">
        <v>60</v>
      </c>
      <c r="B4" s="10" t="s">
        <v>61</v>
      </c>
      <c r="C4" s="42"/>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ht="100.8" x14ac:dyDescent="0.3">
      <c r="A5" s="10" t="s">
        <v>115</v>
      </c>
      <c r="B5" s="44" t="s">
        <v>76</v>
      </c>
      <c r="C5" s="13" t="s">
        <v>116</v>
      </c>
      <c r="D5" s="7" t="str">
        <f>_xlfn.XLOOKUP(A5,'All Courses'!A:A,'All Courses'!D:D,"Not found")</f>
        <v>Resource</v>
      </c>
      <c r="E5" s="7" t="str">
        <f>_xlfn.XLOOKUP(A5,'OJT IDs'!A:A,'OJT IDs'!N:N,"Not found")</f>
        <v>IHG6974268-OJT</v>
      </c>
      <c r="F5" s="9" t="str">
        <f>_xlfn.XLOOKUP(E5,'OJT Links'!E:E,'OJT Links'!H:H,"Not found")</f>
        <v>https://mylearning.sumtotal.host/core/pillarRedirect?relyingParty=LM&amp;url=app%2Fmanagement%2FLMS_ActDetails.aspx%3FActivityId%3D601691%26UserMode%3D0</v>
      </c>
    </row>
    <row r="6" spans="1:6" ht="86.4" x14ac:dyDescent="0.3">
      <c r="A6" s="10" t="s">
        <v>117</v>
      </c>
      <c r="B6" s="44" t="s">
        <v>58</v>
      </c>
      <c r="C6" s="13" t="s">
        <v>118</v>
      </c>
      <c r="D6" s="7" t="str">
        <f>_xlfn.XLOOKUP(A6,'All Courses'!A:A,'All Courses'!D:D,"Not found")</f>
        <v>Resource</v>
      </c>
      <c r="E6" s="7" t="str">
        <f>_xlfn.XLOOKUP(A6,'OJT IDs'!A:A,'OJT IDs'!N:N,"Not found")</f>
        <v>IHG4631229-OJT</v>
      </c>
      <c r="F6" s="9" t="str">
        <f>_xlfn.XLOOKUP(E6,'OJT Links'!E:E,'OJT Links'!H:H,"Not found")</f>
        <v>https://mylearning.sumtotal.host/core/pillarRedirect?relyingParty=LM&amp;url=app%2Fmanagement%2FLMS_ActDetails.aspx%3FActivityId%3D601702%26UserMode%3D0</v>
      </c>
    </row>
    <row r="7" spans="1:6" s="146" customFormat="1" ht="100.8" x14ac:dyDescent="0.3">
      <c r="A7" s="128" t="s">
        <v>62</v>
      </c>
      <c r="B7" s="147" t="s">
        <v>58</v>
      </c>
      <c r="C7" s="143" t="s">
        <v>63</v>
      </c>
      <c r="D7" s="144" t="str">
        <f>_xlfn.XLOOKUP(A7,'All Courses'!A:A,'All Courses'!D:D,"Not found")</f>
        <v>Resource</v>
      </c>
      <c r="E7" s="144" t="str">
        <f>_xlfn.XLOOKUP(A7,'OJT IDs'!A:A,'OJT IDs'!N:N,"Not found")</f>
        <v>IHG0047626-OJT</v>
      </c>
      <c r="F7" s="145" t="str">
        <f>_xlfn.XLOOKUP(E7,'OJT Links'!E:E,'OJT Links'!H:H,"Not found")</f>
        <v>Not found</v>
      </c>
    </row>
    <row r="8" spans="1:6" ht="28.8" x14ac:dyDescent="0.3">
      <c r="A8" s="10" t="s">
        <v>64</v>
      </c>
      <c r="B8" s="10" t="s">
        <v>65</v>
      </c>
      <c r="C8" s="13" t="s">
        <v>66</v>
      </c>
      <c r="D8" s="7" t="str">
        <f>_xlfn.XLOOKUP(A8,'All Courses'!A:A,'All Courses'!D:D,"Not found")</f>
        <v>course</v>
      </c>
      <c r="E8" s="7" t="str">
        <f>_xlfn.XLOOKUP(A8,'OJT IDs'!A:A,'OJT IDs'!N:N,"Not found")</f>
        <v>IHG9191264-OJT</v>
      </c>
      <c r="F8" s="9" t="str">
        <f>_xlfn.XLOOKUP(E8,'OJT Links'!E:E,'OJT Links'!H:H,"Not found")</f>
        <v>https://mylearning.sumtotal.host/core/pillarRedirect?relyingParty=LM&amp;url=app%2Fmanagement%2FLMS_ActDetails.aspx%3FActivityId%3D601724%26UserMode%3D0</v>
      </c>
    </row>
    <row r="9" spans="1:6" ht="43.2" x14ac:dyDescent="0.3">
      <c r="A9" s="10" t="s">
        <v>67</v>
      </c>
      <c r="B9" s="10" t="s">
        <v>68</v>
      </c>
      <c r="C9" s="42"/>
      <c r="D9" s="7"/>
      <c r="E9" s="7" t="str">
        <f>_xlfn.XLOOKUP(A9,'OJT IDs'!A:A,'OJT IDs'!N:N,"Not found")</f>
        <v>IHG8611503-OJT</v>
      </c>
      <c r="F9" s="9" t="str">
        <f>_xlfn.XLOOKUP(E9,'OJT Links'!E:E,'OJT Links'!H:H,"Not found")</f>
        <v>https://mylearning.sumtotal.host/core/pillarRedirect?relyingParty=LM&amp;url=app%2Fmanagement%2FLMS_ActDetails.aspx%3FActivityId%3D601740%26UserMode%3D0</v>
      </c>
    </row>
    <row r="10" spans="1:6" ht="115.2" x14ac:dyDescent="0.3">
      <c r="A10" s="10" t="s">
        <v>399</v>
      </c>
      <c r="B10" s="44" t="s">
        <v>69</v>
      </c>
      <c r="C10" s="42" t="s">
        <v>70</v>
      </c>
      <c r="D10" s="7" t="str">
        <f>_xlfn.XLOOKUP(A10,'All Courses'!A:A,'All Courses'!D:D,"Not found")</f>
        <v>course</v>
      </c>
      <c r="E10" s="7" t="str">
        <f>_xlfn.XLOOKUP(A10,'OJT IDs'!A:A,'OJT IDs'!N:N,"Not found")</f>
        <v>IHG0049491-OJT</v>
      </c>
      <c r="F10" s="9" t="str">
        <f>_xlfn.XLOOKUP(E10,'OJT Links'!E:E,'OJT Links'!H:H,"Not found")</f>
        <v>https://mylearning.sumtotal.host/core/pillarRedirect?relyingParty=LM&amp;url=app%2Fmanagement%2FLMS_ActDetails.aspx%3FActivityId%3D595027%26UserMode%3D0</v>
      </c>
    </row>
    <row r="11" spans="1:6" ht="115.2" x14ac:dyDescent="0.3">
      <c r="A11" s="10" t="s">
        <v>71</v>
      </c>
      <c r="B11" s="44" t="s">
        <v>58</v>
      </c>
      <c r="C11" s="43" t="s">
        <v>72</v>
      </c>
      <c r="D11" s="7" t="str">
        <f>_xlfn.XLOOKUP(A11,'All Courses'!A:A,'All Courses'!D:D,"Not found")</f>
        <v>course</v>
      </c>
      <c r="E11" s="7" t="str">
        <f>_xlfn.XLOOKUP(A11,'OJT IDs'!A:A,'OJT IDs'!N:N,"Not found")</f>
        <v>IHG0054667-OJT</v>
      </c>
      <c r="F11" s="9" t="str">
        <f>_xlfn.XLOOKUP(E11,'OJT Links'!E:E,'OJT Links'!H:H,"Not found")</f>
        <v>https://mylearning.sumtotal.host/core/pillarRedirect?relyingParty=LM&amp;url=app%2Fmanagement%2FLMS_ActDetails.aspx%3FActivityId%3D595030%26UserMode%3D0</v>
      </c>
    </row>
    <row r="12" spans="1:6" ht="57.6" x14ac:dyDescent="0.3">
      <c r="A12" s="10" t="s">
        <v>556</v>
      </c>
      <c r="B12" s="44" t="s">
        <v>69</v>
      </c>
      <c r="C12" s="13" t="s">
        <v>66</v>
      </c>
      <c r="D12" s="7" t="str">
        <f>_xlfn.XLOOKUP(A12,'All Courses'!A:A,'All Courses'!D:D,"Not found")</f>
        <v>course</v>
      </c>
      <c r="E12" s="7" t="str">
        <f>_xlfn.XLOOKUP(A12,'OJT IDs'!A:A,'OJT IDs'!N:N,"Not found")</f>
        <v>IHG7376524-OJT</v>
      </c>
      <c r="F12" s="9" t="str">
        <f>_xlfn.XLOOKUP(E12,'OJT Links'!E:E,'OJT Links'!H:H,"Not found")</f>
        <v>https://mylearning.sumtotal.host/core/pillarRedirect?relyingParty=LM&amp;url=app%2Fmanagement%2FLMS_ActDetails.aspx%3FActivityId%3D468097%26UserMode%3D0</v>
      </c>
    </row>
    <row r="13" spans="1:6" ht="57.6" x14ac:dyDescent="0.3">
      <c r="A13" s="10" t="s">
        <v>73</v>
      </c>
      <c r="B13" s="44" t="s">
        <v>69</v>
      </c>
      <c r="C13" s="13" t="s">
        <v>66</v>
      </c>
      <c r="D13" s="7" t="str">
        <f>_xlfn.XLOOKUP(A13,'All Courses'!A:A,'All Courses'!D:D,"Not found")</f>
        <v>course</v>
      </c>
      <c r="E13" s="7" t="str">
        <f>_xlfn.XLOOKUP(A13,'OJT IDs'!A:A,'OJT IDs'!N:N,"Not found")</f>
        <v>IHG1227263-OJT</v>
      </c>
      <c r="F13" s="9" t="str">
        <f>_xlfn.XLOOKUP(E13,'OJT Links'!E:E,'OJT Links'!H:H,"Not found")</f>
        <v>https://mylearning.sumtotal.host/core/pillarRedirect?relyingParty=LM&amp;url=app%2Fmanagement%2FLMS_ActDetails.aspx%3FActivityId%3D595028%26UserMode%3D0</v>
      </c>
    </row>
    <row r="14" spans="1:6" ht="57.6" x14ac:dyDescent="0.3">
      <c r="A14" s="11" t="s">
        <v>458</v>
      </c>
      <c r="B14" s="44" t="s">
        <v>69</v>
      </c>
      <c r="C14" s="13" t="s">
        <v>66</v>
      </c>
      <c r="D14" s="7" t="str">
        <f>_xlfn.XLOOKUP(A14,'All Courses'!A:A,'All Courses'!D:D,"Not found")</f>
        <v>course</v>
      </c>
      <c r="E14" s="7" t="str">
        <f>_xlfn.XLOOKUP(A14,'OJT IDs'!A:A,'OJT IDs'!N:N,"Not found")</f>
        <v>IHG052185-OJT</v>
      </c>
      <c r="F14" s="9" t="str">
        <f>_xlfn.XLOOKUP(E14,'OJT Links'!E:E,'OJT Links'!H:H,"Not found")</f>
        <v>https://mylearning.sumtotal.host/core/pillarRedirect?relyingParty=LM&amp;url=app%2Fmanagement%2FLMS_ActDetails.aspx%3FActivityId%3D595029%26UserMode%3D0</v>
      </c>
    </row>
    <row r="15" spans="1:6" ht="28.8" x14ac:dyDescent="0.3">
      <c r="A15" s="10" t="s">
        <v>74</v>
      </c>
      <c r="B15" s="44" t="s">
        <v>58</v>
      </c>
      <c r="C15" s="13" t="s">
        <v>66</v>
      </c>
      <c r="D15" s="7" t="str">
        <f>_xlfn.XLOOKUP(A15,'All Courses'!A:A,'All Courses'!D:D,"Not found")</f>
        <v>course</v>
      </c>
      <c r="E15" s="7" t="str">
        <f>_xlfn.XLOOKUP(A15,'OJT IDs'!A:A,'OJT IDs'!N:N,"Not found")</f>
        <v>IHG0047625-OJT</v>
      </c>
      <c r="F15" s="9" t="str">
        <f>_xlfn.XLOOKUP(E15,'OJT Links'!E:E,'OJT Links'!H:H,"Not found")</f>
        <v>https://mylearning.sumtotal.host/core/pillarRedirect?relyingParty=LM&amp;url=app%2Fmanagement%2FLMS_ActDetails.aspx%3FActivityId%3D596770%26UserMode%3D0</v>
      </c>
    </row>
    <row r="16" spans="1:6" ht="57.6" x14ac:dyDescent="0.3">
      <c r="A16" s="10" t="s">
        <v>404</v>
      </c>
      <c r="B16" s="44" t="s">
        <v>69</v>
      </c>
      <c r="C16" s="13" t="s">
        <v>66</v>
      </c>
      <c r="D16" s="7" t="str">
        <f>_xlfn.XLOOKUP(A16,'All Courses'!A:A,'All Courses'!D:D,"Not found")</f>
        <v>course</v>
      </c>
      <c r="E16" s="7" t="str">
        <f>_xlfn.XLOOKUP(A16,'OJT IDs'!A:A,'OJT IDs'!N:N,"Not found")</f>
        <v>IHG0056403-OJT</v>
      </c>
      <c r="F16" s="9" t="str">
        <f>_xlfn.XLOOKUP(E16,'OJT Links'!E:E,'OJT Links'!H:H,"Not found")</f>
        <v>https://mylearning.sumtotal.host/core/pillarRedirect?relyingParty=LM&amp;url=app%2Fmanagement%2FLMS_ActDetails.aspx%3FActivityId%3D596772%26UserMode%3D0</v>
      </c>
    </row>
    <row r="17" spans="1:6" ht="100.8" x14ac:dyDescent="0.3">
      <c r="A17" s="10" t="s">
        <v>408</v>
      </c>
      <c r="B17" s="44" t="s">
        <v>69</v>
      </c>
      <c r="C17" s="13" t="s">
        <v>85</v>
      </c>
      <c r="D17" s="7" t="str">
        <f>_xlfn.XLOOKUP(A17,'All Courses'!A:A,'All Courses'!D:D,"Not found")</f>
        <v>course</v>
      </c>
      <c r="E17" s="7" t="str">
        <f>_xlfn.XLOOKUP(A17,'OJT IDs'!A:A,'OJT IDs'!N:N,"Not found")</f>
        <v>IHG0057043-v2024-OJT</v>
      </c>
      <c r="F17" s="9" t="str">
        <f>_xlfn.XLOOKUP(E17,'OJT Links'!E:E,'OJT Links'!H:H,"Not found")</f>
        <v>https://mylearning.sumtotal.host/core/pillarRedirect?relyingParty=LM&amp;url=app%2Fmanagement%2FLMS_ActDetails.aspx%3FActivityId%3D468091%26UserMode%3D0</v>
      </c>
    </row>
    <row r="18" spans="1:6" ht="57.6" x14ac:dyDescent="0.3">
      <c r="A18" s="10" t="s">
        <v>470</v>
      </c>
      <c r="B18" s="44" t="s">
        <v>69</v>
      </c>
      <c r="C18" s="13" t="s">
        <v>66</v>
      </c>
      <c r="D18" s="7" t="str">
        <f>_xlfn.XLOOKUP(A18,'All Courses'!A:A,'All Courses'!D:D,"Not found")</f>
        <v>course</v>
      </c>
      <c r="E18" s="7" t="str">
        <f>_xlfn.XLOOKUP(A18,'OJT IDs'!A:A,'OJT IDs'!N:N,"Not found")</f>
        <v>IHG056045-OJT</v>
      </c>
      <c r="F18" s="9" t="str">
        <f>_xlfn.XLOOKUP(E18,'OJT Links'!E:E,'OJT Links'!H:H,"Not found")</f>
        <v>https://mylearning.sumtotal.host/core/pillarRedirect?relyingParty=LM&amp;url=app%2Fmanagement%2FLMS_ActDetails.aspx%3FActivityId%3D468095%26UserMode%3D0</v>
      </c>
    </row>
    <row r="19" spans="1:6" ht="28.8" x14ac:dyDescent="0.3">
      <c r="A19" s="10" t="s">
        <v>79</v>
      </c>
      <c r="B19" s="10" t="s">
        <v>80</v>
      </c>
      <c r="C19" s="42"/>
      <c r="D19" s="7"/>
      <c r="E19" s="7" t="str">
        <f>_xlfn.XLOOKUP(A19,'OJT IDs'!A:A,'OJT IDs'!N:N,"Not found")</f>
        <v>IHG5969164-OJT</v>
      </c>
      <c r="F19" s="9" t="str">
        <f>_xlfn.XLOOKUP(E19,'OJT Links'!E:E,'OJT Links'!H:H,"Not found")</f>
        <v>https://mylearning.sumtotal.host/core/pillarRedirect?relyingParty=LM&amp;url=app%2Fmanagement%2FLMS_ActDetails.aspx%3FActivityId%3D602920%26UserMode%3D0</v>
      </c>
    </row>
    <row r="20" spans="1:6" ht="57.6" x14ac:dyDescent="0.3">
      <c r="A20" s="10" t="s">
        <v>81</v>
      </c>
      <c r="B20" s="44" t="s">
        <v>69</v>
      </c>
      <c r="C20" s="13" t="s">
        <v>66</v>
      </c>
      <c r="D20" s="7" t="str">
        <f>_xlfn.XLOOKUP(A20,'All Courses'!A:A,'All Courses'!D:D,"Not found")</f>
        <v>course</v>
      </c>
      <c r="E20" s="7" t="str">
        <f>_xlfn.XLOOKUP(A20,'OJT IDs'!A:A,'OJT IDs'!N:N,"Not found")</f>
        <v>IHG051263-OJT</v>
      </c>
      <c r="F20" s="9" t="str">
        <f>_xlfn.XLOOKUP(E20,'OJT Links'!E:E,'OJT Links'!H:H,"Not found")</f>
        <v>https://mylearning.sumtotal.host/core/pillarRedirect?relyingParty=LM&amp;url=app%2Fmanagement%2FLMS_ActDetails.aspx%3FActivityId%3D468089%26UserMode%3D0</v>
      </c>
    </row>
    <row r="21" spans="1:6" s="146" customFormat="1" ht="28.8" x14ac:dyDescent="0.3">
      <c r="A21" s="128" t="s">
        <v>82</v>
      </c>
      <c r="B21" s="147" t="s">
        <v>58</v>
      </c>
      <c r="C21" s="143" t="s">
        <v>66</v>
      </c>
      <c r="D21" s="144" t="str">
        <f>_xlfn.XLOOKUP(A21,'All Courses'!A:A,'All Courses'!D:D,"Not found")</f>
        <v>course</v>
      </c>
      <c r="E21" s="144" t="str">
        <f>_xlfn.XLOOKUP(A21,'OJT IDs'!A:A,'OJT IDs'!N:N,"Not found")</f>
        <v>IHG058044-OJT</v>
      </c>
      <c r="F21" s="145" t="str">
        <f>_xlfn.XLOOKUP(E21,'OJT Links'!E:E,'OJT Links'!H:H,"Not found")</f>
        <v>Not found</v>
      </c>
    </row>
    <row r="22" spans="1:6" ht="17.399999999999999" x14ac:dyDescent="0.3">
      <c r="A22" s="10" t="s">
        <v>83</v>
      </c>
      <c r="B22" s="44" t="s">
        <v>84</v>
      </c>
      <c r="C22" s="42"/>
      <c r="D22" s="7"/>
      <c r="E22" s="7" t="str">
        <f>_xlfn.XLOOKUP(A22,'OJT IDs'!A:A,'OJT IDs'!N:N,"Not found")</f>
        <v>IHG8342629-OJT</v>
      </c>
      <c r="F22" s="9" t="str">
        <f>_xlfn.XLOOKUP(E22,'OJT Links'!E:E,'OJT Links'!H:H,"Not found")</f>
        <v>https://mylearning.sumtotal.host/core/pillarRedirect?relyingParty=LM&amp;url=app%2Fmanagement%2FLMS_ActDetails.aspx%3FActivityId%3D603028%26UserMode%3D0</v>
      </c>
    </row>
    <row r="23" spans="1:6" ht="115.2" x14ac:dyDescent="0.3">
      <c r="A23" s="10" t="s">
        <v>119</v>
      </c>
      <c r="B23" s="44" t="s">
        <v>69</v>
      </c>
      <c r="C23" s="43" t="s">
        <v>120</v>
      </c>
      <c r="D23" s="7" t="str">
        <f>_xlfn.XLOOKUP(A23,'All Courses'!A:A,'All Courses'!D:D,"Not found")</f>
        <v>Course</v>
      </c>
      <c r="E23" s="7" t="str">
        <f>_xlfn.XLOOKUP(A23,'OJT IDs'!A:A,'OJT IDs'!N:N,"Not found")</f>
        <v>IHG7942569-OJT</v>
      </c>
      <c r="F23" s="9" t="str">
        <f>_xlfn.XLOOKUP(E23,'OJT Links'!E:E,'OJT Links'!H:H,"Not found")</f>
        <v>https://mylearning.sumtotal.host/core/pillarRedirect?relyingParty=LM&amp;url=app%2Fmanagement%2FLMS_ActDetails.aspx%3FActivityId%3D472808%26UserMode%3D0</v>
      </c>
    </row>
    <row r="24" spans="1:6" ht="17.399999999999999" x14ac:dyDescent="0.3">
      <c r="D24" s="7">
        <f>_xlfn.XLOOKUP(A24,'All Courses'!A:A,'All Courses'!D:D,"Not found")</f>
        <v>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9C3258AE-D626-40B1-8810-40F405E87CE6}"/>
    <hyperlink ref="C5" r:id="rId2" location="j0000000KUiS/a/5b000000JrFs/d0iIg1kpRmAdH7X6Ov_FZxzM5gwfTCAgfmF416jsxPg" display="https://ihgolm.my.salesforce.com/sfc/p/#j0000000KUiS/a/5b000000JrFs/d0iIg1kpRmAdH7X6Ov_FZxzM5gwfTCAgfmF416jsxPg" xr:uid="{4A624D5A-A093-4A35-9479-44CACB87765C}"/>
    <hyperlink ref="C8" r:id="rId3" xr:uid="{72F66009-6BD4-4A91-A2E9-1E7DED13C1B2}"/>
    <hyperlink ref="C7" r:id="rId4" xr:uid="{5EB97C42-2A56-454E-AC86-F5BDDFDA4C01}"/>
    <hyperlink ref="C3" r:id="rId5" xr:uid="{7035FAFF-F863-4941-84C1-3A39BAC54B5C}"/>
    <hyperlink ref="C6" r:id="rId6" xr:uid="{DFEE9BF5-421E-4858-9178-2F7188C4F0E5}"/>
    <hyperlink ref="C13" r:id="rId7" xr:uid="{49F1C743-9DAE-44FC-995B-DAE7ED6B60D9}"/>
    <hyperlink ref="C14" r:id="rId8" xr:uid="{617C5450-6609-4B2B-B39C-C741B7BEAA3C}"/>
    <hyperlink ref="C12" r:id="rId9" xr:uid="{FA102F1A-AEE0-45CF-B980-D4A177B4A76C}"/>
    <hyperlink ref="C15" r:id="rId10" xr:uid="{598271DF-8404-4B2B-9E1E-F4E3C54C6919}"/>
    <hyperlink ref="C16" r:id="rId11" xr:uid="{77EFEBE3-3DF0-4740-BE3C-FE534DDF710A}"/>
    <hyperlink ref="C17" r:id="rId12" display="Link" xr:uid="{52C496D9-2B1C-4387-A3EE-C3A6E8D1332E}"/>
    <hyperlink ref="C18" r:id="rId13" xr:uid="{65D2BC54-A146-451A-B8D9-402DCE20BE62}"/>
    <hyperlink ref="C20" r:id="rId14" xr:uid="{9E78F3C4-EB05-47EE-8CF3-41EF8BF3A8B2}"/>
    <hyperlink ref="C21" r:id="rId15" xr:uid="{8983069B-DCE8-4ACF-B3F5-F0D7ED2A035F}"/>
  </hyperlinks>
  <pageMargins left="0.7" right="0.7" top="0.75" bottom="0.75" header="0.3" footer="0.3"/>
  <pageSetup paperSize="17" orientation="portrait" r:id="rId1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92EB-F895-4108-9520-C341852131C4}">
  <dimension ref="A1:F41"/>
  <sheetViews>
    <sheetView zoomScale="85" zoomScaleNormal="85" workbookViewId="0">
      <pane xSplit="1" ySplit="1" topLeftCell="B2" activePane="bottomRight" state="frozen"/>
      <selection pane="topRight" activeCell="N75" sqref="N75"/>
      <selection pane="bottomLeft" activeCell="N75" sqref="N75"/>
      <selection pane="bottomRight" activeCell="A10" sqref="A10"/>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121</v>
      </c>
      <c r="B2" s="44" t="s">
        <v>58</v>
      </c>
      <c r="C2" s="13" t="s">
        <v>122</v>
      </c>
      <c r="D2" s="7" t="str">
        <f>_xlfn.XLOOKUP(A2,'All Courses'!A:A,'All Courses'!D:D,"Not found")</f>
        <v>Resource</v>
      </c>
      <c r="E2" s="7" t="str">
        <f>_xlfn.XLOOKUP(A2,'OJT IDs'!A:A,'OJT IDs'!N:N,"Not found")</f>
        <v>IHG1057704-OJT</v>
      </c>
      <c r="F2" s="9" t="str">
        <f>_xlfn.XLOOKUP(E2,'OJT Links'!E:E,'OJT Links'!H:H,"Not found")</f>
        <v>https://mylearning.sumtotal.host/core/pillarRedirect?relyingParty=LM&amp;url=app%2Fmanagement%2FLMS_ActDetails.aspx%3FActivityId%3D601637%26UserMode%3D0</v>
      </c>
    </row>
    <row r="3" spans="1:6" ht="64.95" customHeight="1" x14ac:dyDescent="0.3">
      <c r="A3" s="42" t="s">
        <v>56</v>
      </c>
      <c r="B3" s="10" t="s">
        <v>57</v>
      </c>
      <c r="C3" s="42"/>
      <c r="D3" s="7"/>
      <c r="E3" s="7" t="str">
        <f>_xlfn.XLOOKUP(A3,'OJT IDs'!A:A,'OJT IDs'!N:N,"Not found")</f>
        <v>IHG6321776-OJT</v>
      </c>
      <c r="F3" s="9" t="str">
        <f>_xlfn.XLOOKUP(E3,'OJT Links'!E:E,'OJT Links'!H:H,"Not found")</f>
        <v>https://mylearning.sumtotal.host/core/pillarRedirect?relyingParty=LM&amp;url=app%2Fmanagement%2FLMS_ActDetails.aspx%3FActivityId%3D601648%26UserMode%3D0</v>
      </c>
    </row>
    <row r="4" spans="1:6" ht="64.95" customHeight="1" x14ac:dyDescent="0.3">
      <c r="A4" s="10" t="s">
        <v>574</v>
      </c>
      <c r="B4" s="44" t="s">
        <v>58</v>
      </c>
      <c r="C4" s="12" t="s">
        <v>59</v>
      </c>
      <c r="D4" s="7" t="str">
        <f>_xlfn.XLOOKUP(A4,'All Courses'!A:A,'All Courses'!D:D,"Not found")</f>
        <v>course</v>
      </c>
      <c r="E4" s="7" t="str">
        <f>_xlfn.XLOOKUP(A4,'OJT IDs'!A:A,'OJT IDs'!N:N,"Not found")</f>
        <v>IHG0061303-OJT</v>
      </c>
      <c r="F4" s="9" t="str">
        <f>_xlfn.XLOOKUP(E4,'OJT Links'!E:E,'OJT Links'!H:H,"Not found")</f>
        <v>https://mylearning.sumtotal.host/core/pillarRedirect?relyingParty=LM&amp;url=app%2Fmanagement%2FLMS_ActDetails.aspx%3FActivityId%3D595005%26UserMode%3D0</v>
      </c>
    </row>
    <row r="5" spans="1:6" ht="17.399999999999999" x14ac:dyDescent="0.3">
      <c r="A5" s="10" t="s">
        <v>60</v>
      </c>
      <c r="B5" s="10" t="s">
        <v>61</v>
      </c>
      <c r="C5" s="42"/>
      <c r="D5" s="7"/>
      <c r="E5" s="7" t="str">
        <f>_xlfn.XLOOKUP(A5,'OJT IDs'!A:A,'OJT IDs'!N:N,"Not found")</f>
        <v>IHG1885862-OJT</v>
      </c>
      <c r="F5" s="9" t="str">
        <f>_xlfn.XLOOKUP(E5,'OJT Links'!E:E,'OJT Links'!H:H,"Not found")</f>
        <v>https://mylearning.sumtotal.host/core/pillarRedirect?relyingParty=LM&amp;url=app%2Fmanagement%2FLMS_ActDetails.aspx%3FActivityId%3D601671%26UserMode%3D0</v>
      </c>
    </row>
    <row r="6" spans="1:6" s="146" customFormat="1" ht="100.8" x14ac:dyDescent="0.3">
      <c r="A6" s="128" t="s">
        <v>62</v>
      </c>
      <c r="B6" s="147" t="s">
        <v>58</v>
      </c>
      <c r="C6" s="143" t="s">
        <v>63</v>
      </c>
      <c r="D6" s="144" t="str">
        <f>_xlfn.XLOOKUP(A6,'All Courses'!A:A,'All Courses'!D:D,"Not found")</f>
        <v>Resource</v>
      </c>
      <c r="E6" s="144" t="str">
        <f>_xlfn.XLOOKUP(A6,'OJT IDs'!A:A,'OJT IDs'!N:N,"Not found")</f>
        <v>IHG0047626-OJT</v>
      </c>
      <c r="F6" s="145" t="str">
        <f>_xlfn.XLOOKUP(E6,'OJT Links'!E:E,'OJT Links'!H:H,"Not found")</f>
        <v>Not found</v>
      </c>
    </row>
    <row r="7" spans="1:6" ht="28.8" x14ac:dyDescent="0.3">
      <c r="A7" s="10" t="s">
        <v>64</v>
      </c>
      <c r="B7" s="10" t="s">
        <v>65</v>
      </c>
      <c r="C7" s="13" t="s">
        <v>66</v>
      </c>
      <c r="D7" s="7" t="str">
        <f>_xlfn.XLOOKUP(A7,'All Courses'!A:A,'All Courses'!D:D,"Not found")</f>
        <v>course</v>
      </c>
      <c r="E7" s="7" t="str">
        <f>_xlfn.XLOOKUP(A7,'OJT IDs'!A:A,'OJT IDs'!N:N,"Not found")</f>
        <v>IHG9191264-OJT</v>
      </c>
      <c r="F7" s="9" t="str">
        <f>_xlfn.XLOOKUP(E7,'OJT Links'!E:E,'OJT Links'!H:H,"Not found")</f>
        <v>https://mylearning.sumtotal.host/core/pillarRedirect?relyingParty=LM&amp;url=app%2Fmanagement%2FLMS_ActDetails.aspx%3FActivityId%3D601724%26UserMode%3D0</v>
      </c>
    </row>
    <row r="8" spans="1:6" ht="28.8" x14ac:dyDescent="0.3">
      <c r="A8" s="10" t="s">
        <v>464</v>
      </c>
      <c r="B8" s="44" t="s">
        <v>58</v>
      </c>
      <c r="C8" s="13" t="s">
        <v>66</v>
      </c>
      <c r="D8" s="7" t="str">
        <f>_xlfn.XLOOKUP(A8,'All Courses'!A:A,'All Courses'!D:D,"Not found")</f>
        <v>course</v>
      </c>
      <c r="E8" s="7" t="str">
        <f>_xlfn.XLOOKUP(A8,'OJT IDs'!A:A,'OJT IDs'!N:N,"Not found")</f>
        <v>IHG052303-OJT</v>
      </c>
      <c r="F8" s="9" t="str">
        <f>_xlfn.XLOOKUP(E8,'OJT Links'!E:E,'OJT Links'!H:H,"Not found")</f>
        <v>https://mylearning.sumtotal.host/core/pillarRedirect?relyingParty=LM&amp;url=app%2Fmanagement%2FLMS_ActDetails.aspx%3FActivityId%3D595015%26UserMode%3D0</v>
      </c>
    </row>
    <row r="9" spans="1:6" ht="57.6" x14ac:dyDescent="0.3">
      <c r="A9" s="11" t="s">
        <v>467</v>
      </c>
      <c r="B9" s="44" t="s">
        <v>69</v>
      </c>
      <c r="C9" s="13" t="s">
        <v>66</v>
      </c>
      <c r="D9" s="7" t="str">
        <f>_xlfn.XLOOKUP(A9,'All Courses'!A:A,'All Courses'!D:D,"Not found")</f>
        <v>course</v>
      </c>
      <c r="E9" s="7" t="str">
        <f>_xlfn.XLOOKUP(A9,'OJT IDs'!A:A,'OJT IDs'!N:N,"Not found")</f>
        <v>IHG052304-OJT</v>
      </c>
      <c r="F9" s="9" t="str">
        <f>_xlfn.XLOOKUP(E9,'OJT Links'!E:E,'OJT Links'!H:H,"Not found")</f>
        <v>https://mylearning.sumtotal.host/core/pillarRedirect?relyingParty=LM&amp;url=app%2Fmanagement%2FLMS_ActDetails.aspx%3FActivityId%3D595016%26UserMode%3D0</v>
      </c>
    </row>
    <row r="10" spans="1:6" ht="28.8" x14ac:dyDescent="0.3">
      <c r="A10" s="11" t="s">
        <v>344</v>
      </c>
      <c r="B10" s="44" t="s">
        <v>58</v>
      </c>
      <c r="C10" s="13" t="s">
        <v>66</v>
      </c>
      <c r="D10" s="7" t="str">
        <f>_xlfn.XLOOKUP(A10,'All Courses'!A:A,'All Courses'!D:D,"Not found")</f>
        <v>course</v>
      </c>
      <c r="E10" s="7" t="str">
        <f>_xlfn.XLOOKUP(A10,'OJT IDs'!A:A,'OJT IDs'!N:N,"Not found")</f>
        <v>IHG051964-OJT</v>
      </c>
      <c r="F10" s="9" t="str">
        <f>_xlfn.XLOOKUP(E10,'OJT Links'!E:E,'OJT Links'!H:H,"Not found")</f>
        <v>https://mylearning.sumtotal.host/core/pillarRedirect?relyingParty=LM&amp;url=app%2Fmanagement%2FLMS_ActDetails.aspx%3FActivityId%3D595018%26UserMode%3D0</v>
      </c>
    </row>
    <row r="11" spans="1:6" ht="43.2" x14ac:dyDescent="0.3">
      <c r="A11" s="10" t="s">
        <v>67</v>
      </c>
      <c r="B11" s="10" t="s">
        <v>68</v>
      </c>
      <c r="C11" s="42"/>
      <c r="D11" s="7"/>
      <c r="E11" s="7" t="str">
        <f>_xlfn.XLOOKUP(A11,'OJT IDs'!A:A,'OJT IDs'!N:N,"Not found")</f>
        <v>IHG8611503-OJT</v>
      </c>
      <c r="F11" s="9" t="str">
        <f>_xlfn.XLOOKUP(E11,'OJT Links'!E:E,'OJT Links'!H:H,"Not found")</f>
        <v>https://mylearning.sumtotal.host/core/pillarRedirect?relyingParty=LM&amp;url=app%2Fmanagement%2FLMS_ActDetails.aspx%3FActivityId%3D601740%26UserMode%3D0</v>
      </c>
    </row>
    <row r="12" spans="1:6" ht="115.2" x14ac:dyDescent="0.3">
      <c r="A12" s="10" t="s">
        <v>399</v>
      </c>
      <c r="B12" s="44" t="s">
        <v>69</v>
      </c>
      <c r="C12" s="42" t="s">
        <v>70</v>
      </c>
      <c r="D12" s="7" t="str">
        <f>_xlfn.XLOOKUP(A12,'All Courses'!A:A,'All Courses'!D:D,"Not found")</f>
        <v>course</v>
      </c>
      <c r="E12" s="7" t="str">
        <f>_xlfn.XLOOKUP(A12,'OJT IDs'!A:A,'OJT IDs'!N:N,"Not found")</f>
        <v>IHG0049491-OJT</v>
      </c>
      <c r="F12" s="9" t="str">
        <f>_xlfn.XLOOKUP(E12,'OJT Links'!E:E,'OJT Links'!H:H,"Not found")</f>
        <v>https://mylearning.sumtotal.host/core/pillarRedirect?relyingParty=LM&amp;url=app%2Fmanagement%2FLMS_ActDetails.aspx%3FActivityId%3D595027%26UserMode%3D0</v>
      </c>
    </row>
    <row r="13" spans="1:6" ht="115.2" x14ac:dyDescent="0.3">
      <c r="A13" s="10" t="s">
        <v>71</v>
      </c>
      <c r="B13" s="44" t="s">
        <v>58</v>
      </c>
      <c r="C13" s="43" t="s">
        <v>72</v>
      </c>
      <c r="D13" s="7" t="str">
        <f>_xlfn.XLOOKUP(A13,'All Courses'!A:A,'All Courses'!D:D,"Not found")</f>
        <v>course</v>
      </c>
      <c r="E13" s="7" t="str">
        <f>_xlfn.XLOOKUP(A13,'OJT IDs'!A:A,'OJT IDs'!N:N,"Not found")</f>
        <v>IHG0054667-OJT</v>
      </c>
      <c r="F13" s="9" t="str">
        <f>_xlfn.XLOOKUP(E13,'OJT Links'!E:E,'OJT Links'!H:H,"Not found")</f>
        <v>https://mylearning.sumtotal.host/core/pillarRedirect?relyingParty=LM&amp;url=app%2Fmanagement%2FLMS_ActDetails.aspx%3FActivityId%3D595030%26UserMode%3D0</v>
      </c>
    </row>
    <row r="14" spans="1:6" ht="57.6" x14ac:dyDescent="0.3">
      <c r="A14" s="10" t="s">
        <v>556</v>
      </c>
      <c r="B14" s="44" t="s">
        <v>69</v>
      </c>
      <c r="C14" s="13" t="s">
        <v>66</v>
      </c>
      <c r="D14" s="7" t="str">
        <f>_xlfn.XLOOKUP(A14,'All Courses'!A:A,'All Courses'!D:D,"Not found")</f>
        <v>course</v>
      </c>
      <c r="E14" s="7" t="str">
        <f>_xlfn.XLOOKUP(A14,'OJT IDs'!A:A,'OJT IDs'!N:N,"Not found")</f>
        <v>IHG7376524-OJT</v>
      </c>
      <c r="F14" s="9" t="str">
        <f>_xlfn.XLOOKUP(E14,'OJT Links'!E:E,'OJT Links'!H:H,"Not found")</f>
        <v>https://mylearning.sumtotal.host/core/pillarRedirect?relyingParty=LM&amp;url=app%2Fmanagement%2FLMS_ActDetails.aspx%3FActivityId%3D468097%26UserMode%3D0</v>
      </c>
    </row>
    <row r="15" spans="1:6" ht="57.6" x14ac:dyDescent="0.3">
      <c r="A15" s="10" t="s">
        <v>73</v>
      </c>
      <c r="B15" s="44" t="s">
        <v>69</v>
      </c>
      <c r="C15" s="13" t="s">
        <v>66</v>
      </c>
      <c r="D15" s="7" t="str">
        <f>_xlfn.XLOOKUP(A15,'All Courses'!A:A,'All Courses'!D:D,"Not found")</f>
        <v>course</v>
      </c>
      <c r="E15" s="7" t="str">
        <f>_xlfn.XLOOKUP(A15,'OJT IDs'!A:A,'OJT IDs'!N:N,"Not found")</f>
        <v>IHG1227263-OJT</v>
      </c>
      <c r="F15" s="9" t="str">
        <f>_xlfn.XLOOKUP(E15,'OJT Links'!E:E,'OJT Links'!H:H,"Not found")</f>
        <v>https://mylearning.sumtotal.host/core/pillarRedirect?relyingParty=LM&amp;url=app%2Fmanagement%2FLMS_ActDetails.aspx%3FActivityId%3D595028%26UserMode%3D0</v>
      </c>
    </row>
    <row r="16" spans="1:6" ht="57.6" x14ac:dyDescent="0.3">
      <c r="A16" s="11" t="s">
        <v>458</v>
      </c>
      <c r="B16" s="44" t="s">
        <v>69</v>
      </c>
      <c r="C16" s="13" t="s">
        <v>66</v>
      </c>
      <c r="D16" s="7" t="str">
        <f>_xlfn.XLOOKUP(A16,'All Courses'!A:A,'All Courses'!D:D,"Not found")</f>
        <v>course</v>
      </c>
      <c r="E16" s="7" t="str">
        <f>_xlfn.XLOOKUP(A16,'OJT IDs'!A:A,'OJT IDs'!N:N,"Not found")</f>
        <v>IHG052185-OJT</v>
      </c>
      <c r="F16" s="9" t="str">
        <f>_xlfn.XLOOKUP(E16,'OJT Links'!E:E,'OJT Links'!H:H,"Not found")</f>
        <v>https://mylearning.sumtotal.host/core/pillarRedirect?relyingParty=LM&amp;url=app%2Fmanagement%2FLMS_ActDetails.aspx%3FActivityId%3D595029%26UserMode%3D0</v>
      </c>
    </row>
    <row r="17" spans="1:6" ht="28.8" x14ac:dyDescent="0.3">
      <c r="A17" s="10" t="s">
        <v>74</v>
      </c>
      <c r="B17" s="44" t="s">
        <v>58</v>
      </c>
      <c r="C17" s="13" t="s">
        <v>66</v>
      </c>
      <c r="D17" s="7" t="str">
        <f>_xlfn.XLOOKUP(A17,'All Courses'!A:A,'All Courses'!D:D,"Not found")</f>
        <v>course</v>
      </c>
      <c r="E17" s="7" t="str">
        <f>_xlfn.XLOOKUP(A17,'OJT IDs'!A:A,'OJT IDs'!N:N,"Not found")</f>
        <v>IHG0047625-OJT</v>
      </c>
      <c r="F17" s="9" t="str">
        <f>_xlfn.XLOOKUP(E17,'OJT Links'!E:E,'OJT Links'!H:H,"Not found")</f>
        <v>https://mylearning.sumtotal.host/core/pillarRedirect?relyingParty=LM&amp;url=app%2Fmanagement%2FLMS_ActDetails.aspx%3FActivityId%3D596770%26UserMode%3D0</v>
      </c>
    </row>
    <row r="18" spans="1:6" ht="57.6" x14ac:dyDescent="0.3">
      <c r="A18" s="10" t="s">
        <v>404</v>
      </c>
      <c r="B18" s="44" t="s">
        <v>69</v>
      </c>
      <c r="C18" s="13" t="s">
        <v>66</v>
      </c>
      <c r="D18" s="7" t="str">
        <f>_xlfn.XLOOKUP(A18,'All Courses'!A:A,'All Courses'!D:D,"Not found")</f>
        <v>course</v>
      </c>
      <c r="E18" s="7" t="str">
        <f>_xlfn.XLOOKUP(A18,'OJT IDs'!A:A,'OJT IDs'!N:N,"Not found")</f>
        <v>IHG0056403-OJT</v>
      </c>
      <c r="F18" s="9" t="str">
        <f>_xlfn.XLOOKUP(E18,'OJT Links'!E:E,'OJT Links'!H:H,"Not found")</f>
        <v>https://mylearning.sumtotal.host/core/pillarRedirect?relyingParty=LM&amp;url=app%2Fmanagement%2FLMS_ActDetails.aspx%3FActivityId%3D596772%26UserMode%3D0</v>
      </c>
    </row>
    <row r="19" spans="1:6" ht="100.8" x14ac:dyDescent="0.3">
      <c r="A19" s="10" t="s">
        <v>408</v>
      </c>
      <c r="B19" s="44" t="s">
        <v>69</v>
      </c>
      <c r="C19" s="13" t="s">
        <v>85</v>
      </c>
      <c r="D19" s="7" t="str">
        <f>_xlfn.XLOOKUP(A19,'All Courses'!A:A,'All Courses'!D:D,"Not found")</f>
        <v>course</v>
      </c>
      <c r="E19" s="7" t="str">
        <f>_xlfn.XLOOKUP(A19,'OJT IDs'!A:A,'OJT IDs'!N:N,"Not found")</f>
        <v>IHG0057043-v2024-OJT</v>
      </c>
      <c r="F19" s="9" t="str">
        <f>_xlfn.XLOOKUP(E19,'OJT Links'!E:E,'OJT Links'!H:H,"Not found")</f>
        <v>https://mylearning.sumtotal.host/core/pillarRedirect?relyingParty=LM&amp;url=app%2Fmanagement%2FLMS_ActDetails.aspx%3FActivityId%3D468091%26UserMode%3D0</v>
      </c>
    </row>
    <row r="20" spans="1:6" ht="57.6" x14ac:dyDescent="0.3">
      <c r="A20" s="10" t="s">
        <v>470</v>
      </c>
      <c r="B20" s="44" t="s">
        <v>69</v>
      </c>
      <c r="C20" s="13" t="s">
        <v>66</v>
      </c>
      <c r="D20" s="7" t="str">
        <f>_xlfn.XLOOKUP(A20,'All Courses'!A:A,'All Courses'!D:D,"Not found")</f>
        <v>course</v>
      </c>
      <c r="E20" s="7" t="str">
        <f>_xlfn.XLOOKUP(A20,'OJT IDs'!A:A,'OJT IDs'!N:N,"Not found")</f>
        <v>IHG056045-OJT</v>
      </c>
      <c r="F20" s="9" t="str">
        <f>_xlfn.XLOOKUP(E20,'OJT Links'!E:E,'OJT Links'!H:H,"Not found")</f>
        <v>https://mylearning.sumtotal.host/core/pillarRedirect?relyingParty=LM&amp;url=app%2Fmanagement%2FLMS_ActDetails.aspx%3FActivityId%3D468095%26UserMode%3D0</v>
      </c>
    </row>
    <row r="21" spans="1:6" ht="28.8" x14ac:dyDescent="0.3">
      <c r="A21" s="10" t="s">
        <v>79</v>
      </c>
      <c r="B21" s="10" t="s">
        <v>80</v>
      </c>
      <c r="C21" s="42"/>
      <c r="D21" s="7"/>
      <c r="E21" s="7" t="str">
        <f>_xlfn.XLOOKUP(A21,'OJT IDs'!A:A,'OJT IDs'!N:N,"Not found")</f>
        <v>IHG5969164-OJT</v>
      </c>
      <c r="F21" s="9" t="str">
        <f>_xlfn.XLOOKUP(E21,'OJT Links'!E:E,'OJT Links'!H:H,"Not found")</f>
        <v>https://mylearning.sumtotal.host/core/pillarRedirect?relyingParty=LM&amp;url=app%2Fmanagement%2FLMS_ActDetails.aspx%3FActivityId%3D602920%26UserMode%3D0</v>
      </c>
    </row>
    <row r="22" spans="1:6" ht="57.6" x14ac:dyDescent="0.3">
      <c r="A22" s="10" t="s">
        <v>81</v>
      </c>
      <c r="B22" s="44" t="s">
        <v>69</v>
      </c>
      <c r="C22" s="13" t="s">
        <v>66</v>
      </c>
      <c r="D22" s="7" t="str">
        <f>_xlfn.XLOOKUP(A22,'All Courses'!A:A,'All Courses'!D:D,"Not found")</f>
        <v>course</v>
      </c>
      <c r="E22" s="7" t="str">
        <f>_xlfn.XLOOKUP(A22,'OJT IDs'!A:A,'OJT IDs'!N:N,"Not found")</f>
        <v>IHG051263-OJT</v>
      </c>
      <c r="F22" s="9" t="str">
        <f>_xlfn.XLOOKUP(E22,'OJT Links'!E:E,'OJT Links'!H:H,"Not found")</f>
        <v>https://mylearning.sumtotal.host/core/pillarRedirect?relyingParty=LM&amp;url=app%2Fmanagement%2FLMS_ActDetails.aspx%3FActivityId%3D468089%26UserMode%3D0</v>
      </c>
    </row>
    <row r="23" spans="1:6" s="146" customFormat="1" ht="28.8" x14ac:dyDescent="0.3">
      <c r="A23" s="128" t="s">
        <v>82</v>
      </c>
      <c r="B23" s="147" t="s">
        <v>58</v>
      </c>
      <c r="C23" s="143" t="s">
        <v>66</v>
      </c>
      <c r="D23" s="144" t="str">
        <f>_xlfn.XLOOKUP(A23,'All Courses'!A:A,'All Courses'!D:D,"Not found")</f>
        <v>course</v>
      </c>
      <c r="E23" s="144" t="str">
        <f>_xlfn.XLOOKUP(A23,'OJT IDs'!A:A,'OJT IDs'!N:N,"Not found")</f>
        <v>IHG058044-OJT</v>
      </c>
      <c r="F23" s="145" t="str">
        <f>_xlfn.XLOOKUP(E23,'OJT Links'!E:E,'OJT Links'!H:H,"Not found")</f>
        <v>Not found</v>
      </c>
    </row>
    <row r="24" spans="1:6" ht="17.399999999999999" x14ac:dyDescent="0.3">
      <c r="A24" s="10" t="s">
        <v>83</v>
      </c>
      <c r="B24" s="44" t="s">
        <v>84</v>
      </c>
      <c r="C24" s="42"/>
      <c r="D24" s="7"/>
      <c r="E24" s="7" t="str">
        <f>_xlfn.XLOOKUP(A24,'OJT IDs'!A:A,'OJT IDs'!N:N,"Not found")</f>
        <v>IHG8342629-OJT</v>
      </c>
      <c r="F24" s="9" t="str">
        <f>_xlfn.XLOOKUP(E24,'OJT Links'!E:E,'OJT Links'!H:H,"Not found")</f>
        <v>https://mylearning.sumtotal.host/core/pillarRedirect?relyingParty=LM&amp;url=app%2Fmanagement%2FLMS_ActDetails.aspx%3FActivityId%3D603028%26UserMode%3D0</v>
      </c>
    </row>
    <row r="25" spans="1:6" ht="115.2" x14ac:dyDescent="0.3">
      <c r="A25" s="10" t="s">
        <v>533</v>
      </c>
      <c r="B25" s="44" t="s">
        <v>58</v>
      </c>
      <c r="C25" s="14" t="s">
        <v>123</v>
      </c>
      <c r="D25" s="7" t="str">
        <f>_xlfn.XLOOKUP(A25,'All Courses'!A:A,'All Courses'!D:D,"Not found")</f>
        <v>course</v>
      </c>
      <c r="E25" s="7" t="str">
        <f>_xlfn.XLOOKUP(A25,'OJT IDs'!A:A,'OJT IDs'!N:N,"Not found")</f>
        <v>IHG3075650-OJT</v>
      </c>
      <c r="F25" s="9" t="str">
        <f>_xlfn.XLOOKUP(E25,'OJT Links'!E:E,'OJT Links'!H:H,"Not found")</f>
        <v>https://mylearning.sumtotal.host/core/pillarRedirect?relyingParty=LM&amp;url=app%2Fmanagement%2FLMS_ActDetails.aspx%3FActivityId%3D472806%26UserMode%3D0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6DBBE417-A62F-4536-9645-B17B4046C1D1}"/>
    <hyperlink ref="C4" r:id="rId2" xr:uid="{01150CC1-FD9F-482F-92B2-3EE2C9C344E0}"/>
    <hyperlink ref="C15" r:id="rId3" xr:uid="{CD04518C-B31A-4AA4-9789-EAEAFD852C15}"/>
    <hyperlink ref="C16" r:id="rId4" xr:uid="{AF3838B3-7BBC-45FD-A56D-3C527BAC3F06}"/>
    <hyperlink ref="C14" r:id="rId5" xr:uid="{C47FF940-1EC1-430D-BC66-FF05D11AA607}"/>
    <hyperlink ref="C8" r:id="rId6" xr:uid="{764876FD-B7EE-494F-A18D-DCBD21E1C93C}"/>
    <hyperlink ref="C9" r:id="rId7" xr:uid="{4DE6E550-1618-4713-8A24-8B2B260FEC6B}"/>
    <hyperlink ref="C10" r:id="rId8" xr:uid="{86312D9B-A803-47C9-9D43-F8047D0FF857}"/>
    <hyperlink ref="C17" r:id="rId9" xr:uid="{2F58D26A-45C2-4397-91DA-3AF6A504BE4C}"/>
    <hyperlink ref="C18" r:id="rId10" xr:uid="{FC485BEC-B646-4AA2-81E3-384E52B280C9}"/>
    <hyperlink ref="C7" r:id="rId11" xr:uid="{B2C2E224-0172-4CC0-A079-F20D9F414845}"/>
    <hyperlink ref="C6" r:id="rId12" xr:uid="{5BC9895F-7D5C-43E9-ABD2-11C1912DB1B6}"/>
    <hyperlink ref="C19" r:id="rId13" display="Link" xr:uid="{9EAB0DC8-226B-454E-8D56-C93FB7CD6847}"/>
    <hyperlink ref="C20" r:id="rId14" xr:uid="{4D6C95FF-78F5-4521-8732-F35F024BF2F3}"/>
    <hyperlink ref="C22" r:id="rId15" xr:uid="{D6442B7E-698C-468C-A0E7-125DEECD69EE}"/>
    <hyperlink ref="C23" r:id="rId16" xr:uid="{8C066DA7-8ACD-45A0-A838-B14A9B02936A}"/>
  </hyperlinks>
  <pageMargins left="0.7" right="0.7" top="0.75" bottom="0.75" header="0.3" footer="0.3"/>
  <pageSetup paperSize="17" orientation="portrait" r:id="rId1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CC6BF-DA14-4068-B0CE-7832347512F9}">
  <sheetPr codeName="Sheet2"/>
  <dimension ref="A1:F22"/>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11" t="s">
        <v>461</v>
      </c>
      <c r="B3" s="44" t="s">
        <v>69</v>
      </c>
      <c r="C3" s="81" t="s">
        <v>125</v>
      </c>
      <c r="D3" s="7" t="s">
        <v>77</v>
      </c>
      <c r="E3" s="7" t="str">
        <f>_xlfn.XLOOKUP(A3,'OJT IDs'!A:A,'OJT IDs'!N:N,"Not found")</f>
        <v>IHG052206-OJT</v>
      </c>
      <c r="F3" s="9" t="str">
        <f>_xlfn.XLOOKUP(E3,'OJT Links'!E:E,'OJT Links'!H:H,"Not found")</f>
        <v>https://mylearning.sumtotal.host/core/pillarRedirect?relyingParty=LM&amp;url=app%2Fmanagement%2FLMS_ActDetails.aspx%3FActivityId%3D595007%26UserMode%3D0</v>
      </c>
    </row>
    <row r="4" spans="1:6" ht="64.95" customHeight="1" x14ac:dyDescent="0.3">
      <c r="A4" s="10" t="s">
        <v>60</v>
      </c>
      <c r="B4" s="10" t="s">
        <v>61</v>
      </c>
      <c r="C4" s="42"/>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s="146" customFormat="1" ht="100.8" x14ac:dyDescent="0.3">
      <c r="A5" s="128" t="s">
        <v>62</v>
      </c>
      <c r="B5" s="147" t="s">
        <v>58</v>
      </c>
      <c r="C5" s="143" t="s">
        <v>63</v>
      </c>
      <c r="D5" s="144" t="str">
        <f>_xlfn.XLOOKUP(A5,'All Courses'!A:A,'All Courses'!D:D,"Not found")</f>
        <v>Resource</v>
      </c>
      <c r="E5" s="144" t="str">
        <f>_xlfn.XLOOKUP(A5,'OJT IDs'!A:A,'OJT IDs'!N:N,"Not found")</f>
        <v>IHG0047626-OJT</v>
      </c>
      <c r="F5" s="145" t="str">
        <f>_xlfn.XLOOKUP(E5,'OJT Links'!E:E,'OJT Links'!H:H,"Not found")</f>
        <v>Not found</v>
      </c>
    </row>
    <row r="6" spans="1:6" ht="28.8" x14ac:dyDescent="0.3">
      <c r="A6" s="10" t="s">
        <v>64</v>
      </c>
      <c r="B6" s="10" t="s">
        <v>65</v>
      </c>
      <c r="C6" s="13" t="s">
        <v>66</v>
      </c>
      <c r="D6" s="7" t="str">
        <f>_xlfn.XLOOKUP(A6,'All Courses'!A:A,'All Courses'!D:D,"Not found")</f>
        <v>course</v>
      </c>
      <c r="E6" s="7" t="str">
        <f>_xlfn.XLOOKUP(A6,'OJT IDs'!A:A,'OJT IDs'!N:N,"Not found")</f>
        <v>IHG9191264-OJT</v>
      </c>
      <c r="F6" s="9" t="str">
        <f>_xlfn.XLOOKUP(E6,'OJT Links'!E:E,'OJT Links'!H:H,"Not found")</f>
        <v>https://mylearning.sumtotal.host/core/pillarRedirect?relyingParty=LM&amp;url=app%2Fmanagement%2FLMS_ActDetails.aspx%3FActivityId%3D601724%26UserMode%3D0</v>
      </c>
    </row>
    <row r="7" spans="1:6" ht="43.2" x14ac:dyDescent="0.3">
      <c r="A7" s="10" t="s">
        <v>67</v>
      </c>
      <c r="B7" s="10" t="s">
        <v>68</v>
      </c>
      <c r="C7" s="42"/>
      <c r="D7" s="7"/>
      <c r="E7" s="7" t="str">
        <f>_xlfn.XLOOKUP(A7,'OJT IDs'!A:A,'OJT IDs'!N:N,"Not found")</f>
        <v>IHG8611503-OJT</v>
      </c>
      <c r="F7" s="9" t="str">
        <f>_xlfn.XLOOKUP(E7,'OJT Links'!E:E,'OJT Links'!H:H,"Not found")</f>
        <v>https://mylearning.sumtotal.host/core/pillarRedirect?relyingParty=LM&amp;url=app%2Fmanagement%2FLMS_ActDetails.aspx%3FActivityId%3D601740%26UserMode%3D0</v>
      </c>
    </row>
    <row r="8" spans="1:6" ht="115.2" x14ac:dyDescent="0.3">
      <c r="A8" s="10" t="s">
        <v>399</v>
      </c>
      <c r="B8" s="44" t="s">
        <v>69</v>
      </c>
      <c r="C8" s="42" t="s">
        <v>70</v>
      </c>
      <c r="D8" s="7" t="s">
        <v>77</v>
      </c>
      <c r="E8" s="7" t="str">
        <f>_xlfn.XLOOKUP(A8,'OJT IDs'!A:A,'OJT IDs'!N:N,"Not found")</f>
        <v>IHG0049491-OJT</v>
      </c>
      <c r="F8" s="9" t="str">
        <f>_xlfn.XLOOKUP(E8,'OJT Links'!E:E,'OJT Links'!H:H,"Not found")</f>
        <v>https://mylearning.sumtotal.host/core/pillarRedirect?relyingParty=LM&amp;url=app%2Fmanagement%2FLMS_ActDetails.aspx%3FActivityId%3D595027%26UserMode%3D0</v>
      </c>
    </row>
    <row r="9" spans="1:6" ht="115.2" x14ac:dyDescent="0.3">
      <c r="A9" s="10" t="s">
        <v>71</v>
      </c>
      <c r="B9" s="44" t="s">
        <v>58</v>
      </c>
      <c r="C9" s="43" t="s">
        <v>72</v>
      </c>
      <c r="D9" s="7" t="str">
        <f>_xlfn.XLOOKUP(A9,'All Courses'!A:A,'All Courses'!D:D,"Not found")</f>
        <v>course</v>
      </c>
      <c r="E9" s="7" t="str">
        <f>_xlfn.XLOOKUP(A9,'OJT IDs'!A:A,'OJT IDs'!N:N,"Not found")</f>
        <v>IHG0054667-OJT</v>
      </c>
      <c r="F9" s="9" t="str">
        <f>_xlfn.XLOOKUP(E9,'OJT Links'!E:E,'OJT Links'!H:H,"Not found")</f>
        <v>https://mylearning.sumtotal.host/core/pillarRedirect?relyingParty=LM&amp;url=app%2Fmanagement%2FLMS_ActDetails.aspx%3FActivityId%3D595030%26UserMode%3D0</v>
      </c>
    </row>
    <row r="10" spans="1:6" ht="57.6" x14ac:dyDescent="0.3">
      <c r="A10" s="10" t="s">
        <v>556</v>
      </c>
      <c r="B10" s="44" t="s">
        <v>69</v>
      </c>
      <c r="C10" s="13" t="s">
        <v>66</v>
      </c>
      <c r="D10" s="7" t="str">
        <f>_xlfn.XLOOKUP(A10,'All Courses'!A:A,'All Courses'!D:D,"Not found")</f>
        <v>course</v>
      </c>
      <c r="E10" s="7" t="str">
        <f>_xlfn.XLOOKUP(A10,'OJT IDs'!A:A,'OJT IDs'!N:N,"Not found")</f>
        <v>IHG7376524-OJT</v>
      </c>
      <c r="F10" s="9" t="str">
        <f>_xlfn.XLOOKUP(E10,'OJT Links'!E:E,'OJT Links'!H:H,"Not found")</f>
        <v>https://mylearning.sumtotal.host/core/pillarRedirect?relyingParty=LM&amp;url=app%2Fmanagement%2FLMS_ActDetails.aspx%3FActivityId%3D468097%26UserMode%3D0</v>
      </c>
    </row>
    <row r="11" spans="1:6" ht="57.6" x14ac:dyDescent="0.3">
      <c r="A11" s="10" t="s">
        <v>73</v>
      </c>
      <c r="B11" s="44" t="s">
        <v>69</v>
      </c>
      <c r="C11" s="13" t="s">
        <v>66</v>
      </c>
      <c r="D11" s="7" t="str">
        <f>_xlfn.XLOOKUP(A11,'All Courses'!A:A,'All Courses'!D:D,"Not found")</f>
        <v>course</v>
      </c>
      <c r="E11" s="7" t="str">
        <f>_xlfn.XLOOKUP(A11,'OJT IDs'!A:A,'OJT IDs'!N:N,"Not found")</f>
        <v>IHG1227263-OJT</v>
      </c>
      <c r="F11" s="9" t="str">
        <f>_xlfn.XLOOKUP(E11,'OJT Links'!E:E,'OJT Links'!H:H,"Not found")</f>
        <v>https://mylearning.sumtotal.host/core/pillarRedirect?relyingParty=LM&amp;url=app%2Fmanagement%2FLMS_ActDetails.aspx%3FActivityId%3D595028%26UserMode%3D0</v>
      </c>
    </row>
    <row r="12" spans="1:6" ht="57.6" x14ac:dyDescent="0.3">
      <c r="A12" s="11" t="s">
        <v>458</v>
      </c>
      <c r="B12" s="44" t="s">
        <v>69</v>
      </c>
      <c r="C12" s="13" t="s">
        <v>66</v>
      </c>
      <c r="D12" s="7" t="str">
        <f>_xlfn.XLOOKUP(A12,'All Courses'!A:A,'All Courses'!D:D,"Not found")</f>
        <v>course</v>
      </c>
      <c r="E12" s="7" t="str">
        <f>_xlfn.XLOOKUP(A12,'OJT IDs'!A:A,'OJT IDs'!N:N,"Not found")</f>
        <v>IHG052185-OJT</v>
      </c>
      <c r="F12" s="9" t="str">
        <f>_xlfn.XLOOKUP(E12,'OJT Links'!E:E,'OJT Links'!H:H,"Not found")</f>
        <v>https://mylearning.sumtotal.host/core/pillarRedirect?relyingParty=LM&amp;url=app%2Fmanagement%2FLMS_ActDetails.aspx%3FActivityId%3D595029%26UserMode%3D0</v>
      </c>
    </row>
    <row r="13" spans="1:6" ht="28.8" x14ac:dyDescent="0.3">
      <c r="A13" s="10" t="s">
        <v>74</v>
      </c>
      <c r="B13" s="44" t="s">
        <v>58</v>
      </c>
      <c r="C13" s="13" t="s">
        <v>66</v>
      </c>
      <c r="D13" s="7" t="str">
        <f>_xlfn.XLOOKUP(A13,'All Courses'!A:A,'All Courses'!D:D,"Not found")</f>
        <v>course</v>
      </c>
      <c r="E13" s="7" t="str">
        <f>_xlfn.XLOOKUP(A13,'OJT IDs'!A:A,'OJT IDs'!N:N,"Not found")</f>
        <v>IHG0047625-OJT</v>
      </c>
      <c r="F13" s="9" t="str">
        <f>_xlfn.XLOOKUP(E13,'OJT Links'!E:E,'OJT Links'!H:H,"Not found")</f>
        <v>https://mylearning.sumtotal.host/core/pillarRedirect?relyingParty=LM&amp;url=app%2Fmanagement%2FLMS_ActDetails.aspx%3FActivityId%3D596770%26UserMode%3D0</v>
      </c>
    </row>
    <row r="14" spans="1:6" ht="57.6" x14ac:dyDescent="0.3">
      <c r="A14" s="10" t="s">
        <v>404</v>
      </c>
      <c r="B14" s="44" t="s">
        <v>69</v>
      </c>
      <c r="C14" s="13" t="s">
        <v>66</v>
      </c>
      <c r="D14" s="7" t="str">
        <f>_xlfn.XLOOKUP(A14,'All Courses'!A:A,'All Courses'!D:D,"Not found")</f>
        <v>course</v>
      </c>
      <c r="E14" s="7" t="str">
        <f>_xlfn.XLOOKUP(A14,'OJT IDs'!A:A,'OJT IDs'!N:N,"Not found")</f>
        <v>IHG0056403-OJT</v>
      </c>
      <c r="F14" s="9" t="str">
        <f>_xlfn.XLOOKUP(E14,'OJT Links'!E:E,'OJT Links'!H:H,"Not found")</f>
        <v>https://mylearning.sumtotal.host/core/pillarRedirect?relyingParty=LM&amp;url=app%2Fmanagement%2FLMS_ActDetails.aspx%3FActivityId%3D596772%26UserMode%3D0</v>
      </c>
    </row>
    <row r="15" spans="1:6" ht="100.8" x14ac:dyDescent="0.3">
      <c r="A15" s="10" t="s">
        <v>408</v>
      </c>
      <c r="B15" s="44" t="s">
        <v>69</v>
      </c>
      <c r="C15" s="13" t="s">
        <v>85</v>
      </c>
      <c r="D15" s="7" t="str">
        <f>_xlfn.XLOOKUP(A15,'All Courses'!A:A,'All Courses'!D:D,"Not found")</f>
        <v>course</v>
      </c>
      <c r="E15" s="7" t="str">
        <f>_xlfn.XLOOKUP(A15,'OJT IDs'!A:A,'OJT IDs'!N:N,"Not found")</f>
        <v>IHG0057043-v2024-OJT</v>
      </c>
      <c r="F15" s="9" t="str">
        <f>_xlfn.XLOOKUP(E15,'OJT Links'!E:E,'OJT Links'!H:H,"Not found")</f>
        <v>https://mylearning.sumtotal.host/core/pillarRedirect?relyingParty=LM&amp;url=app%2Fmanagement%2FLMS_ActDetails.aspx%3FActivityId%3D468091%26UserMode%3D0</v>
      </c>
    </row>
    <row r="16" spans="1:6" ht="57.6" x14ac:dyDescent="0.3">
      <c r="A16" s="10" t="s">
        <v>470</v>
      </c>
      <c r="B16" s="44" t="s">
        <v>69</v>
      </c>
      <c r="C16" s="13" t="s">
        <v>66</v>
      </c>
      <c r="D16" s="7" t="str">
        <f>_xlfn.XLOOKUP(A16,'All Courses'!A:A,'All Courses'!D:D,"Not found")</f>
        <v>course</v>
      </c>
      <c r="E16" s="7" t="str">
        <f>_xlfn.XLOOKUP(A16,'OJT IDs'!A:A,'OJT IDs'!N:N,"Not found")</f>
        <v>IHG056045-OJT</v>
      </c>
      <c r="F16" s="9" t="str">
        <f>_xlfn.XLOOKUP(E16,'OJT Links'!E:E,'OJT Links'!H:H,"Not found")</f>
        <v>https://mylearning.sumtotal.host/core/pillarRedirect?relyingParty=LM&amp;url=app%2Fmanagement%2FLMS_ActDetails.aspx%3FActivityId%3D468095%26UserMode%3D0</v>
      </c>
    </row>
    <row r="17" spans="1:6" ht="28.8" x14ac:dyDescent="0.3">
      <c r="A17" s="10" t="s">
        <v>79</v>
      </c>
      <c r="B17" s="10" t="s">
        <v>80</v>
      </c>
      <c r="C17" s="42"/>
      <c r="D17" s="7"/>
      <c r="E17" s="7" t="str">
        <f>_xlfn.XLOOKUP(A17,'OJT IDs'!A:A,'OJT IDs'!N:N,"Not found")</f>
        <v>IHG5969164-OJT</v>
      </c>
      <c r="F17" s="9" t="str">
        <f>_xlfn.XLOOKUP(E17,'OJT Links'!E:E,'OJT Links'!H:H,"Not found")</f>
        <v>https://mylearning.sumtotal.host/core/pillarRedirect?relyingParty=LM&amp;url=app%2Fmanagement%2FLMS_ActDetails.aspx%3FActivityId%3D602920%26UserMode%3D0</v>
      </c>
    </row>
    <row r="18" spans="1:6" ht="57.6" x14ac:dyDescent="0.3">
      <c r="A18" s="10" t="s">
        <v>81</v>
      </c>
      <c r="B18" s="44" t="s">
        <v>69</v>
      </c>
      <c r="C18" s="13" t="s">
        <v>66</v>
      </c>
      <c r="D18" s="7" t="str">
        <f>_xlfn.XLOOKUP(A18,'All Courses'!A:A,'All Courses'!D:D,"Not found")</f>
        <v>course</v>
      </c>
      <c r="E18" s="7" t="str">
        <f>_xlfn.XLOOKUP(A18,'OJT IDs'!A:A,'OJT IDs'!N:N,"Not found")</f>
        <v>IHG051263-OJT</v>
      </c>
      <c r="F18" s="9" t="str">
        <f>_xlfn.XLOOKUP(E18,'OJT Links'!E:E,'OJT Links'!H:H,"Not found")</f>
        <v>https://mylearning.sumtotal.host/core/pillarRedirect?relyingParty=LM&amp;url=app%2Fmanagement%2FLMS_ActDetails.aspx%3FActivityId%3D468089%26UserMode%3D0</v>
      </c>
    </row>
    <row r="19" spans="1:6" s="146" customFormat="1" ht="28.8" x14ac:dyDescent="0.3">
      <c r="A19" s="128" t="s">
        <v>82</v>
      </c>
      <c r="B19" s="147" t="s">
        <v>58</v>
      </c>
      <c r="C19" s="143" t="s">
        <v>66</v>
      </c>
      <c r="D19" s="144" t="str">
        <f>_xlfn.XLOOKUP(A19,'All Courses'!A:A,'All Courses'!D:D,"Not found")</f>
        <v>course</v>
      </c>
      <c r="E19" s="144" t="str">
        <f>_xlfn.XLOOKUP(A19,'OJT IDs'!A:A,'OJT IDs'!N:N,"Not found")</f>
        <v>IHG058044-OJT</v>
      </c>
      <c r="F19" s="145" t="str">
        <f>_xlfn.XLOOKUP(E19,'OJT Links'!E:E,'OJT Links'!H:H,"Not found")</f>
        <v>Not found</v>
      </c>
    </row>
    <row r="20" spans="1:6" ht="17.399999999999999" x14ac:dyDescent="0.3">
      <c r="A20" s="10" t="s">
        <v>83</v>
      </c>
      <c r="B20" s="44" t="s">
        <v>84</v>
      </c>
      <c r="C20" s="42"/>
      <c r="D20" s="7"/>
      <c r="E20" s="7" t="str">
        <f>_xlfn.XLOOKUP(A20,'OJT IDs'!A:A,'OJT IDs'!N:N,"Not found")</f>
        <v>IHG8342629-OJT</v>
      </c>
      <c r="F20" s="9" t="str">
        <f>_xlfn.XLOOKUP(E20,'OJT Links'!E:E,'OJT Links'!H:H,"Not found")</f>
        <v>https://mylearning.sumtotal.host/core/pillarRedirect?relyingParty=LM&amp;url=app%2Fmanagement%2FLMS_ActDetails.aspx%3FActivityId%3D603028%26UserMode%3D0</v>
      </c>
    </row>
    <row r="21" spans="1:6" ht="115.2" x14ac:dyDescent="0.3">
      <c r="A21" s="10" t="s">
        <v>538</v>
      </c>
      <c r="B21" s="44" t="s">
        <v>58</v>
      </c>
      <c r="C21" s="14" t="s">
        <v>126</v>
      </c>
      <c r="D21" s="7" t="str">
        <f>_xlfn.XLOOKUP(A21,'All Courses'!A:A,'All Courses'!D:D,"Not found")</f>
        <v>course</v>
      </c>
      <c r="E21" s="7" t="str">
        <f>_xlfn.XLOOKUP(A21,'OJT IDs'!A:A,'OJT IDs'!N:N,"Not found")</f>
        <v> IHG4548388-OJT</v>
      </c>
      <c r="F21" s="9" t="str">
        <f>_xlfn.XLOOKUP(E21,'OJT Links'!E:E,'OJT Links'!H:H,"Not found")</f>
        <v>https://mylearning.sumtotal.host/core/pillarRedirect?relyingParty=LM&amp;url=app%2Fmanagement%2FLMS_ActDetails.aspx%3FActivityId%3D471268%26UserMode%3D0</v>
      </c>
    </row>
    <row r="22" spans="1:6" x14ac:dyDescent="0.3">
      <c r="E22" s="151"/>
    </row>
  </sheetData>
  <autoFilter ref="A1:F3" xr:uid="{879CC6BF-DA14-4068-B0CE-7832347512F9}">
    <sortState xmlns:xlrd2="http://schemas.microsoft.com/office/spreadsheetml/2017/richdata2" ref="A2:F4">
      <sortCondition ref="A1:A4"/>
    </sortState>
  </autoFilter>
  <sortState xmlns:xlrd2="http://schemas.microsoft.com/office/spreadsheetml/2017/richdata2" ref="A1:XER1">
    <sortCondition ref="A1"/>
  </sortState>
  <hyperlinks>
    <hyperlink ref="C2" r:id="rId1" xr:uid="{FA5D201A-473E-4ED6-BBE5-6442733727D3}"/>
    <hyperlink ref="C6" r:id="rId2" xr:uid="{31ACC6AC-FD77-4717-8D1A-E207CD3AAC83}"/>
    <hyperlink ref="C5" r:id="rId3" xr:uid="{C514B571-7C1A-450C-98B9-F16BFFC78FDF}"/>
    <hyperlink ref="C11" r:id="rId4" xr:uid="{F31C6CB4-07AC-4768-A209-C1D4D779366F}"/>
    <hyperlink ref="C12" r:id="rId5" xr:uid="{FFDF45A8-3FB4-4D5A-B266-7B5FEA611D13}"/>
    <hyperlink ref="C10" r:id="rId6" xr:uid="{6A89C2EF-7190-4D75-8A3A-9E2ED6B47DC3}"/>
    <hyperlink ref="C13" r:id="rId7" xr:uid="{07F0191C-720E-4DFB-B8BE-28845500D00E}"/>
    <hyperlink ref="C14" r:id="rId8" xr:uid="{B495F60B-0727-4877-AAF3-C5D4D8F54EC8}"/>
    <hyperlink ref="C15" r:id="rId9" display="Link" xr:uid="{9BBF2657-6176-4594-88D6-FD0DF9C9C608}"/>
    <hyperlink ref="C16" r:id="rId10" xr:uid="{80FFE7DE-DA9B-487D-97E0-D7DF9FC6338B}"/>
    <hyperlink ref="C18" r:id="rId11" xr:uid="{8A69A2C6-8A4E-48CB-A9FD-7D874DD9E66C}"/>
    <hyperlink ref="C19" r:id="rId12" xr:uid="{1EF8E844-AFEE-4594-8604-AC12E660C8AA}"/>
    <hyperlink ref="C3" r:id="rId13" xr:uid="{7200B081-F90A-4499-BB23-0588025CC04C}"/>
  </hyperlinks>
  <pageMargins left="0.7" right="0.7" top="0.75" bottom="0.75" header="0.3" footer="0.3"/>
  <pageSetup paperSize="17" orientation="portrait" r:id="rId1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62630-A23F-44AE-9E2A-64DDAF74819E}">
  <dimension ref="A1:F41"/>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42"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64.95" customHeight="1" x14ac:dyDescent="0.3">
      <c r="A4" s="128" t="s">
        <v>62</v>
      </c>
      <c r="B4" s="147"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42"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42"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10" t="s">
        <v>399</v>
      </c>
      <c r="B7" s="44"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10" t="s">
        <v>71</v>
      </c>
      <c r="B8" s="44"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42" t="s">
        <v>556</v>
      </c>
      <c r="B9" s="44"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42" t="s">
        <v>73</v>
      </c>
      <c r="B10" s="44"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78" t="s">
        <v>458</v>
      </c>
      <c r="B11" s="44"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10" t="s">
        <v>74</v>
      </c>
      <c r="B12" s="44"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10" t="s">
        <v>404</v>
      </c>
      <c r="B13" s="44"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100.8" x14ac:dyDescent="0.3">
      <c r="A14" s="42" t="s">
        <v>408</v>
      </c>
      <c r="B14" s="44" t="s">
        <v>69</v>
      </c>
      <c r="C14" s="13" t="s">
        <v>85</v>
      </c>
      <c r="D14" s="7" t="str">
        <f>_xlfn.XLOOKUP(A14,'All Courses'!A:A,'All Courses'!D:D,"Not found")</f>
        <v>course</v>
      </c>
      <c r="E14" s="7" t="str">
        <f>_xlfn.XLOOKUP(A14,'OJT IDs'!A:A,'OJT IDs'!N:N,"Not found")</f>
        <v>IHG0057043-v2024-OJT</v>
      </c>
      <c r="F14" s="9" t="str">
        <f>_xlfn.XLOOKUP(E14,'OJT Links'!E:E,'OJT Links'!H:H,"Not found")</f>
        <v>https://mylearning.sumtotal.host/core/pillarRedirect?relyingParty=LM&amp;url=app%2Fmanagement%2FLMS_ActDetails.aspx%3FActivityId%3D468091%26UserMode%3D0</v>
      </c>
    </row>
    <row r="15" spans="1:6" ht="57.6" x14ac:dyDescent="0.3">
      <c r="A15" s="10" t="s">
        <v>470</v>
      </c>
      <c r="B15" s="44" t="s">
        <v>69</v>
      </c>
      <c r="C15" s="13" t="s">
        <v>66</v>
      </c>
      <c r="D15" s="7" t="str">
        <f>_xlfn.XLOOKUP(A15,'All Courses'!A:A,'All Courses'!D:D,"Not found")</f>
        <v>course</v>
      </c>
      <c r="E15" s="7" t="str">
        <f>_xlfn.XLOOKUP(A15,'OJT IDs'!A:A,'OJT IDs'!N:N,"Not found")</f>
        <v>IHG056045-OJT</v>
      </c>
      <c r="F15" s="9" t="str">
        <f>_xlfn.XLOOKUP(E15,'OJT Links'!E:E,'OJT Links'!H:H,"Not found")</f>
        <v>https://mylearning.sumtotal.host/core/pillarRedirect?relyingParty=LM&amp;url=app%2Fmanagement%2FLMS_ActDetails.aspx%3FActivityId%3D468095%26UserMode%3D0</v>
      </c>
    </row>
    <row r="16" spans="1:6" ht="28.8" x14ac:dyDescent="0.3">
      <c r="A16" s="42" t="s">
        <v>79</v>
      </c>
      <c r="B16" s="10" t="s">
        <v>80</v>
      </c>
      <c r="C16" s="42"/>
      <c r="D16" s="7"/>
      <c r="E16" s="7" t="str">
        <f>_xlfn.XLOOKUP(A16,'OJT IDs'!A:A,'OJT IDs'!N:N,"Not found")</f>
        <v>IHG5969164-OJT</v>
      </c>
      <c r="F16" s="9" t="str">
        <f>_xlfn.XLOOKUP(E16,'OJT Links'!E:E,'OJT Links'!H:H,"Not found")</f>
        <v>https://mylearning.sumtotal.host/core/pillarRedirect?relyingParty=LM&amp;url=app%2Fmanagement%2FLMS_ActDetails.aspx%3FActivityId%3D602920%26UserMode%3D0</v>
      </c>
    </row>
    <row r="17" spans="1:6" ht="115.2" x14ac:dyDescent="0.3">
      <c r="A17" s="10" t="s">
        <v>127</v>
      </c>
      <c r="B17" s="44" t="s">
        <v>58</v>
      </c>
      <c r="C17" s="42" t="s">
        <v>128</v>
      </c>
      <c r="D17" s="7" t="str">
        <f>_xlfn.XLOOKUP(A17,'All Courses'!A:A,'All Courses'!D:D,"Not found")</f>
        <v>course</v>
      </c>
      <c r="E17" s="7" t="str">
        <f>_xlfn.XLOOKUP(A17,'OJT IDs'!A:A,'OJT IDs'!N:N,"Not found")</f>
        <v>IHG0058563-OJT</v>
      </c>
      <c r="F17" s="9" t="str">
        <f>_xlfn.XLOOKUP(E17,'OJT Links'!E:E,'OJT Links'!H:H,"Not found")</f>
        <v>https://mylearning.sumtotal.host/core/pillarRedirect?relyingParty=LM&amp;url=app%2Fmanagement%2FLMS_ActDetails.aspx%3FActivityId%3D596774%26UserMode%3D0</v>
      </c>
    </row>
    <row r="18" spans="1:6" ht="57.6" x14ac:dyDescent="0.3">
      <c r="A18" s="10" t="s">
        <v>81</v>
      </c>
      <c r="B18" s="44" t="s">
        <v>69</v>
      </c>
      <c r="C18" s="13" t="s">
        <v>66</v>
      </c>
      <c r="D18" s="7" t="str">
        <f>_xlfn.XLOOKUP(A18,'All Courses'!A:A,'All Courses'!D:D,"Not found")</f>
        <v>course</v>
      </c>
      <c r="E18" s="7" t="str">
        <f>_xlfn.XLOOKUP(A18,'OJT IDs'!A:A,'OJT IDs'!N:N,"Not found")</f>
        <v>IHG051263-OJT</v>
      </c>
      <c r="F18" s="9" t="str">
        <f>_xlfn.XLOOKUP(E18,'OJT Links'!E:E,'OJT Links'!H:H,"Not found")</f>
        <v>https://mylearning.sumtotal.host/core/pillarRedirect?relyingParty=LM&amp;url=app%2Fmanagement%2FLMS_ActDetails.aspx%3FActivityId%3D468089%26UserMode%3D0</v>
      </c>
    </row>
    <row r="19" spans="1:6" s="146" customFormat="1" ht="28.8" x14ac:dyDescent="0.3">
      <c r="A19" s="128" t="s">
        <v>82</v>
      </c>
      <c r="B19" s="147" t="s">
        <v>58</v>
      </c>
      <c r="C19" s="143" t="s">
        <v>66</v>
      </c>
      <c r="D19" s="144" t="str">
        <f>_xlfn.XLOOKUP(A19,'All Courses'!A:A,'All Courses'!D:D,"Not found")</f>
        <v>course</v>
      </c>
      <c r="E19" s="144" t="str">
        <f>_xlfn.XLOOKUP(A19,'OJT IDs'!A:A,'OJT IDs'!N:N,"Not found")</f>
        <v>IHG058044-OJT</v>
      </c>
      <c r="F19" s="145" t="str">
        <f>_xlfn.XLOOKUP(E19,'OJT Links'!E:E,'OJT Links'!H:H,"Not found")</f>
        <v>Not found</v>
      </c>
    </row>
    <row r="20" spans="1:6" ht="17.399999999999999" x14ac:dyDescent="0.3">
      <c r="A20" s="10" t="s">
        <v>83</v>
      </c>
      <c r="B20" s="44" t="s">
        <v>84</v>
      </c>
      <c r="C20" s="42"/>
      <c r="D20" s="7"/>
      <c r="E20" s="7" t="str">
        <f>_xlfn.XLOOKUP(A20,'OJT IDs'!A:A,'OJT IDs'!N:N,"Not found")</f>
        <v>IHG8342629-OJT</v>
      </c>
      <c r="F20" s="9" t="str">
        <f>_xlfn.XLOOKUP(E20,'OJT Links'!E:E,'OJT Links'!H:H,"Not found")</f>
        <v>https://mylearning.sumtotal.host/core/pillarRedirect?relyingParty=LM&amp;url=app%2Fmanagement%2FLMS_ActDetails.aspx%3FActivityId%3D603028%26UserMode%3D0</v>
      </c>
    </row>
    <row r="21" spans="1:6" ht="115.2" x14ac:dyDescent="0.3">
      <c r="A21" s="10" t="s">
        <v>578</v>
      </c>
      <c r="B21" s="44" t="s">
        <v>69</v>
      </c>
      <c r="C21" s="12" t="s">
        <v>129</v>
      </c>
      <c r="D21" s="7" t="str">
        <f>_xlfn.XLOOKUP(A21,'All Courses'!A:A,'All Courses'!D:D,"Not found")</f>
        <v>course</v>
      </c>
      <c r="E21" s="7" t="str">
        <f>_xlfn.XLOOKUP(A21,'OJT IDs'!A:A,'OJT IDs'!N:N,"Not found")</f>
        <v>IHG1645990-OJT</v>
      </c>
      <c r="F21" s="9" t="str">
        <f>_xlfn.XLOOKUP(E21,'OJT Links'!E:E,'OJT Links'!H:H,"Not found")</f>
        <v>https://mylearning.sumtotal.host/core/pillarRedirect?relyingParty=LM&amp;url=app%2Fmanagement%2FLMS_ActDetails.aspx%3FActivityId%3D472810%26UserMode%3D0</v>
      </c>
    </row>
    <row r="22" spans="1:6" ht="115.2" x14ac:dyDescent="0.3">
      <c r="A22" s="11" t="s">
        <v>130</v>
      </c>
      <c r="B22" s="44" t="s">
        <v>69</v>
      </c>
      <c r="C22" s="42" t="s">
        <v>131</v>
      </c>
      <c r="D22" s="7" t="str">
        <f>_xlfn.XLOOKUP(A22,'All Courses'!A:A,'All Courses'!D:D,"Not found")</f>
        <v>course</v>
      </c>
      <c r="E22" s="7" t="str">
        <f>_xlfn.XLOOKUP(A22,'OJT IDs'!A:A,'OJT IDs'!N:N,"Not found")</f>
        <v>IHG0065503-OJT</v>
      </c>
      <c r="F22" s="9" t="str">
        <f>_xlfn.XLOOKUP(E22,'OJT Links'!E:E,'OJT Links'!H:H,"Not found")</f>
        <v>https://mylearning.sumtotal.host/core/pillarRedirect?relyingParty=LM&amp;url=app%2Fmanagement%2FLMS_ActDetails.aspx%3FActivityId%3D593204%26UserMode%3D0</v>
      </c>
    </row>
    <row r="23" spans="1:6" ht="115.2" x14ac:dyDescent="0.3">
      <c r="A23" s="88" t="s">
        <v>132</v>
      </c>
      <c r="B23" s="44" t="s">
        <v>69</v>
      </c>
      <c r="C23" s="12" t="s">
        <v>133</v>
      </c>
      <c r="D23" s="7" t="str">
        <f>_xlfn.XLOOKUP(A23,'All Courses'!A:A,'All Courses'!D:D,"Not found")</f>
        <v>course</v>
      </c>
      <c r="E23" s="7" t="str">
        <f>_xlfn.XLOOKUP(A23,'OJT IDs'!A:A,'OJT IDs'!N:N,"Not found")</f>
        <v>IHG0065403-OJT</v>
      </c>
      <c r="F23" s="9" t="str">
        <f>_xlfn.XLOOKUP(E23,'OJT Links'!E:E,'OJT Links'!H:H,"Not found")</f>
        <v>https://mylearning.sumtotal.host/core/pillarRedirect?relyingParty=LM&amp;url=app%2Fmanagement%2FLMS_ActDetails.aspx%3FActivityId%3D593205%26UserMode%3D0</v>
      </c>
    </row>
    <row r="24" spans="1:6" ht="115.2" x14ac:dyDescent="0.3">
      <c r="A24" s="89" t="s">
        <v>440</v>
      </c>
      <c r="B24" s="44" t="s">
        <v>69</v>
      </c>
      <c r="C24" s="42" t="s">
        <v>134</v>
      </c>
      <c r="D24" s="7" t="str">
        <f>_xlfn.XLOOKUP(A24,'All Courses'!A:A,'All Courses'!D:D,"Not found")</f>
        <v>course</v>
      </c>
      <c r="E24" s="7" t="str">
        <f>_xlfn.XLOOKUP(A24,'OJT IDs'!A:A,'OJT IDs'!N:N,"Not found")</f>
        <v>IHG0065583-OJT</v>
      </c>
      <c r="F24" s="9" t="str">
        <f>_xlfn.XLOOKUP(E24,'OJT Links'!E:E,'OJT Links'!H:H,"Not found")</f>
        <v>https://mylearning.sumtotal.host/core/pillarRedirect?relyingParty=LM&amp;url=app%2Fmanagement%2FLMS_ActDetails.aspx%3FActivityId%3D593206%26UserMode%3D0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977920C2-78E4-47DE-B9A2-1A59EAD76D93}"/>
    <hyperlink ref="C5" r:id="rId2" xr:uid="{74C477AA-3CF2-4521-BF05-9DEA4A26986B}"/>
    <hyperlink ref="C4" r:id="rId3" xr:uid="{D4F8A802-4842-4DCE-8B25-83300EA388D9}"/>
    <hyperlink ref="C10" r:id="rId4" xr:uid="{5B85F7D3-3009-464F-B220-D938AB26CC0D}"/>
    <hyperlink ref="C11" r:id="rId5" xr:uid="{6F2DFE84-F576-4D12-B039-765D300EDA1D}"/>
    <hyperlink ref="C9" r:id="rId6" xr:uid="{2E7D9856-305E-42A6-8BDA-633DF5098614}"/>
    <hyperlink ref="C12" r:id="rId7" xr:uid="{8992BA68-D154-4240-B1C1-1AF80A4A9E15}"/>
    <hyperlink ref="C13" r:id="rId8" xr:uid="{7D8FDAE1-0748-4E4D-A319-AD21FE534789}"/>
    <hyperlink ref="C14" r:id="rId9" display="Link" xr:uid="{7C742281-366B-4B48-BFE5-D5785C55B854}"/>
    <hyperlink ref="C15" r:id="rId10" xr:uid="{FB8FA9BC-EA0C-4572-860C-9B2E784968D9}"/>
    <hyperlink ref="C18" r:id="rId11" xr:uid="{F4506F90-47E2-4B8C-A98B-F0538503A38A}"/>
    <hyperlink ref="C19" r:id="rId12" xr:uid="{ECCEBB07-713A-4C99-8B98-3A2D641348D1}"/>
    <hyperlink ref="C21" r:id="rId13" xr:uid="{38FA985B-88D3-43DB-B1D2-EAED438B29E1}"/>
    <hyperlink ref="C23" r:id="rId14" xr:uid="{4D1021F3-5890-400D-B000-FD4B697422C7}"/>
  </hyperlinks>
  <pageMargins left="0.7" right="0.7" top="0.75" bottom="0.75" header="0.3" footer="0.3"/>
  <pageSetup paperSize="17" orientation="portrait" r:id="rId1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2D24-8CA9-4E7F-87D8-AEB959C2485A}">
  <dimension ref="A1:F41"/>
  <sheetViews>
    <sheetView zoomScale="85" zoomScaleNormal="85" workbookViewId="0">
      <pane xSplit="1" ySplit="1" topLeftCell="B15"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42"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64.95" customHeight="1" x14ac:dyDescent="0.3">
      <c r="A4" s="128" t="s">
        <v>62</v>
      </c>
      <c r="B4" s="147"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42"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42"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10" t="s">
        <v>399</v>
      </c>
      <c r="B7" s="44"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10" t="s">
        <v>71</v>
      </c>
      <c r="B8" s="44"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42" t="s">
        <v>556</v>
      </c>
      <c r="B9" s="44"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42" t="s">
        <v>73</v>
      </c>
      <c r="B10" s="44"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78" t="s">
        <v>458</v>
      </c>
      <c r="B11" s="44"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10" t="s">
        <v>74</v>
      </c>
      <c r="B12" s="44"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10" t="s">
        <v>404</v>
      </c>
      <c r="B13" s="44"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100.8" x14ac:dyDescent="0.3">
      <c r="A14" s="42" t="s">
        <v>408</v>
      </c>
      <c r="B14" s="44" t="s">
        <v>69</v>
      </c>
      <c r="C14" s="13" t="s">
        <v>85</v>
      </c>
      <c r="D14" s="7" t="str">
        <f>_xlfn.XLOOKUP(A14,'All Courses'!A:A,'All Courses'!D:D,"Not found")</f>
        <v>course</v>
      </c>
      <c r="E14" s="7" t="str">
        <f>_xlfn.XLOOKUP(A14,'OJT IDs'!A:A,'OJT IDs'!N:N,"Not found")</f>
        <v>IHG0057043-v2024-OJT</v>
      </c>
      <c r="F14" s="9" t="str">
        <f>_xlfn.XLOOKUP(E14,'OJT Links'!E:E,'OJT Links'!H:H,"Not found")</f>
        <v>https://mylearning.sumtotal.host/core/pillarRedirect?relyingParty=LM&amp;url=app%2Fmanagement%2FLMS_ActDetails.aspx%3FActivityId%3D468091%26UserMode%3D0</v>
      </c>
    </row>
    <row r="15" spans="1:6" ht="57.6" x14ac:dyDescent="0.3">
      <c r="A15" s="10" t="s">
        <v>470</v>
      </c>
      <c r="B15" s="44" t="s">
        <v>69</v>
      </c>
      <c r="C15" s="13" t="s">
        <v>66</v>
      </c>
      <c r="D15" s="7" t="str">
        <f>_xlfn.XLOOKUP(A15,'All Courses'!A:A,'All Courses'!D:D,"Not found")</f>
        <v>course</v>
      </c>
      <c r="E15" s="7" t="str">
        <f>_xlfn.XLOOKUP(A15,'OJT IDs'!A:A,'OJT IDs'!N:N,"Not found")</f>
        <v>IHG056045-OJT</v>
      </c>
      <c r="F15" s="9" t="str">
        <f>_xlfn.XLOOKUP(E15,'OJT Links'!E:E,'OJT Links'!H:H,"Not found")</f>
        <v>https://mylearning.sumtotal.host/core/pillarRedirect?relyingParty=LM&amp;url=app%2Fmanagement%2FLMS_ActDetails.aspx%3FActivityId%3D468095%26UserMode%3D0</v>
      </c>
    </row>
    <row r="16" spans="1:6" ht="28.8" x14ac:dyDescent="0.3">
      <c r="A16" s="42" t="s">
        <v>79</v>
      </c>
      <c r="B16" s="10" t="s">
        <v>80</v>
      </c>
      <c r="C16" s="42"/>
      <c r="D16" s="7"/>
      <c r="E16" s="7" t="str">
        <f>_xlfn.XLOOKUP(A16,'OJT IDs'!A:A,'OJT IDs'!N:N,"Not found")</f>
        <v>IHG5969164-OJT</v>
      </c>
      <c r="F16" s="9" t="str">
        <f>_xlfn.XLOOKUP(E16,'OJT Links'!E:E,'OJT Links'!H:H,"Not found")</f>
        <v>https://mylearning.sumtotal.host/core/pillarRedirect?relyingParty=LM&amp;url=app%2Fmanagement%2FLMS_ActDetails.aspx%3FActivityId%3D602920%26UserMode%3D0</v>
      </c>
    </row>
    <row r="17" spans="1:6" ht="57.6" x14ac:dyDescent="0.3">
      <c r="A17" s="10" t="s">
        <v>81</v>
      </c>
      <c r="B17" s="44" t="s">
        <v>69</v>
      </c>
      <c r="C17" s="13" t="s">
        <v>66</v>
      </c>
      <c r="D17" s="7" t="str">
        <f>_xlfn.XLOOKUP(A17,'All Courses'!A:A,'All Courses'!D:D,"Not found")</f>
        <v>course</v>
      </c>
      <c r="E17" s="7" t="str">
        <f>_xlfn.XLOOKUP(A17,'OJT IDs'!A:A,'OJT IDs'!N:N,"Not found")</f>
        <v>IHG051263-OJT</v>
      </c>
      <c r="F17" s="9" t="str">
        <f>_xlfn.XLOOKUP(E17,'OJT Links'!E:E,'OJT Links'!H:H,"Not found")</f>
        <v>https://mylearning.sumtotal.host/core/pillarRedirect?relyingParty=LM&amp;url=app%2Fmanagement%2FLMS_ActDetails.aspx%3FActivityId%3D468089%26UserMode%3D0</v>
      </c>
    </row>
    <row r="18" spans="1:6" s="146" customFormat="1" ht="28.8" x14ac:dyDescent="0.3">
      <c r="A18" s="128" t="s">
        <v>82</v>
      </c>
      <c r="B18" s="147" t="s">
        <v>58</v>
      </c>
      <c r="C18" s="143" t="s">
        <v>66</v>
      </c>
      <c r="D18" s="144" t="str">
        <f>_xlfn.XLOOKUP(A18,'All Courses'!A:A,'All Courses'!D:D,"Not found")</f>
        <v>course</v>
      </c>
      <c r="E18" s="144" t="str">
        <f>_xlfn.XLOOKUP(A18,'OJT IDs'!A:A,'OJT IDs'!N:N,"Not found")</f>
        <v>IHG058044-OJT</v>
      </c>
      <c r="F18" s="145" t="str">
        <f>_xlfn.XLOOKUP(E18,'OJT Links'!E:E,'OJT Links'!H:H,"Not found")</f>
        <v>Not found</v>
      </c>
    </row>
    <row r="19" spans="1:6" ht="17.399999999999999" x14ac:dyDescent="0.3">
      <c r="A19" s="10" t="s">
        <v>83</v>
      </c>
      <c r="B19" s="44" t="s">
        <v>84</v>
      </c>
      <c r="C19" s="42"/>
      <c r="D19" s="7"/>
      <c r="E19" s="7" t="str">
        <f>_xlfn.XLOOKUP(A19,'OJT IDs'!A:A,'OJT IDs'!N:N,"Not found")</f>
        <v>IHG8342629-OJT</v>
      </c>
      <c r="F19" s="9" t="str">
        <f>_xlfn.XLOOKUP(E19,'OJT Links'!E:E,'OJT Links'!H:H,"Not found")</f>
        <v>https://mylearning.sumtotal.host/core/pillarRedirect?relyingParty=LM&amp;url=app%2Fmanagement%2FLMS_ActDetails.aspx%3FActivityId%3D603028%26UserMode%3D0</v>
      </c>
    </row>
    <row r="20" spans="1:6" ht="115.2" x14ac:dyDescent="0.3">
      <c r="A20" s="10" t="s">
        <v>135</v>
      </c>
      <c r="B20" s="44" t="s">
        <v>69</v>
      </c>
      <c r="C20" s="12" t="s">
        <v>136</v>
      </c>
      <c r="D20" s="7" t="str">
        <f>_xlfn.XLOOKUP(A20,'All Courses'!A:A,'All Courses'!D:D,"Not found")</f>
        <v>course</v>
      </c>
      <c r="E20" s="7" t="str">
        <f>_xlfn.XLOOKUP(A20,'OJT IDs'!A:A,'OJT IDs'!N:N,"Not found")</f>
        <v>IHG2096323-OJT</v>
      </c>
      <c r="F20" s="9" t="str">
        <f>_xlfn.XLOOKUP(E20,'OJT Links'!E:E,'OJT Links'!H:H,"Not found")</f>
        <v>https://mylearning.sumtotal.host/core/pillarRedirect?relyingParty=LM&amp;url=app%2Fmanagement%2FLMS_ActDetails.aspx%3FActivityId%3D595008%26UserMode%3D0</v>
      </c>
    </row>
    <row r="21" spans="1:6" ht="17.399999999999999" x14ac:dyDescent="0.3">
      <c r="A21" s="10"/>
      <c r="B21" s="44"/>
      <c r="C21" s="42"/>
      <c r="D21" s="7">
        <f>_xlfn.XLOOKUP(A21,'All Courses'!A:A,'All Courses'!D:D,"Not found")</f>
        <v>0</v>
      </c>
      <c r="E21" s="7"/>
    </row>
    <row r="22" spans="1:6" ht="17.399999999999999" x14ac:dyDescent="0.3">
      <c r="A22" s="86"/>
      <c r="B22" s="44"/>
      <c r="C22" s="42"/>
      <c r="D22" s="7">
        <f>_xlfn.XLOOKUP(A22,'All Courses'!A:A,'All Courses'!D:D,"Not found")</f>
        <v>0</v>
      </c>
    </row>
    <row r="23" spans="1:6" ht="17.399999999999999" x14ac:dyDescent="0.3">
      <c r="C23" s="77"/>
      <c r="D23" s="7">
        <f>_xlfn.XLOOKUP(A23,'All Courses'!A:A,'All Courses'!D:D,"Not found")</f>
        <v>0</v>
      </c>
    </row>
    <row r="24" spans="1:6" ht="17.399999999999999" x14ac:dyDescent="0.3">
      <c r="D24" s="7">
        <f>_xlfn.XLOOKUP(A24,'All Courses'!A:A,'All Courses'!D:D,"Not found")</f>
        <v>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17BE61F5-F13A-4B90-AFB9-0A0B8C05E7BF}"/>
    <hyperlink ref="C5" r:id="rId2" xr:uid="{20BE160F-D920-421F-B432-9263C8591F21}"/>
    <hyperlink ref="C4" r:id="rId3" xr:uid="{F11283AE-DAB4-4041-9673-3C9329CB720A}"/>
    <hyperlink ref="C10" r:id="rId4" xr:uid="{2D3305A0-C9F3-4197-AD58-2A816A053A9B}"/>
    <hyperlink ref="C11" r:id="rId5" xr:uid="{3B98E8FE-DBC7-4500-A7AF-6139982A5F87}"/>
    <hyperlink ref="C9" r:id="rId6" xr:uid="{66A47677-9D73-463D-AEE9-D5440D1A25F8}"/>
    <hyperlink ref="C12" r:id="rId7" xr:uid="{164C0F8F-B0F0-4B07-AFBD-83EEE817A994}"/>
    <hyperlink ref="C13" r:id="rId8" xr:uid="{6F7EB1A9-818D-42F1-B659-6C43A1954C4E}"/>
    <hyperlink ref="C14" r:id="rId9" display="Link" xr:uid="{737FAD3D-EE35-4D27-A50D-AD0C54A23703}"/>
    <hyperlink ref="C15" r:id="rId10" xr:uid="{C36E6BD8-F51A-473B-8E17-ECA3640FDDCB}"/>
    <hyperlink ref="C17" r:id="rId11" xr:uid="{A922BB91-7ECC-4777-A29E-C5BEAB171DB7}"/>
    <hyperlink ref="C18" r:id="rId12" xr:uid="{818A27AC-D3A4-40F7-AA1C-1DCF5D5CC895}"/>
    <hyperlink ref="C20" r:id="rId13" xr:uid="{3C6565C2-5578-4278-B537-E1D6432C07B6}"/>
  </hyperlinks>
  <pageMargins left="0.7" right="0.7" top="0.75" bottom="0.75" header="0.3" footer="0.3"/>
  <pageSetup paperSize="17"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F075-35B0-4967-870B-99F649114E55}">
  <dimension ref="A1:F41"/>
  <sheetViews>
    <sheetView zoomScale="85" zoomScaleNormal="85" workbookViewId="0">
      <pane xSplit="1" ySplit="1" topLeftCell="B16"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10" t="s">
        <v>574</v>
      </c>
      <c r="B2" s="44"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10"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64.95" customHeight="1" x14ac:dyDescent="0.3">
      <c r="A4" s="128" t="s">
        <v>62</v>
      </c>
      <c r="B4" s="147"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10"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10"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10" t="s">
        <v>399</v>
      </c>
      <c r="B7" s="44"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10" t="s">
        <v>71</v>
      </c>
      <c r="B8" s="44"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10" t="s">
        <v>556</v>
      </c>
      <c r="B9" s="44"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10" t="s">
        <v>73</v>
      </c>
      <c r="B10" s="44"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11" t="s">
        <v>458</v>
      </c>
      <c r="B11" s="44"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10" t="s">
        <v>74</v>
      </c>
      <c r="B12" s="44"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10" t="s">
        <v>404</v>
      </c>
      <c r="B13" s="44"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100.8" x14ac:dyDescent="0.3">
      <c r="A14" s="10" t="s">
        <v>408</v>
      </c>
      <c r="B14" s="44" t="s">
        <v>69</v>
      </c>
      <c r="C14" s="13" t="s">
        <v>85</v>
      </c>
      <c r="D14" s="7" t="str">
        <f>_xlfn.XLOOKUP(A14,'All Courses'!A:A,'All Courses'!D:D,"Not found")</f>
        <v>course</v>
      </c>
      <c r="E14" s="7" t="str">
        <f>_xlfn.XLOOKUP(A14,'OJT IDs'!A:A,'OJT IDs'!N:N,"Not found")</f>
        <v>IHG0057043-v2024-OJT</v>
      </c>
      <c r="F14" s="9" t="str">
        <f>_xlfn.XLOOKUP(E14,'OJT Links'!E:E,'OJT Links'!H:H,"Not found")</f>
        <v>https://mylearning.sumtotal.host/core/pillarRedirect?relyingParty=LM&amp;url=app%2Fmanagement%2FLMS_ActDetails.aspx%3FActivityId%3D468091%26UserMode%3D0</v>
      </c>
    </row>
    <row r="15" spans="1:6" ht="57.6" x14ac:dyDescent="0.3">
      <c r="A15" s="10" t="s">
        <v>470</v>
      </c>
      <c r="B15" s="44" t="s">
        <v>69</v>
      </c>
      <c r="C15" s="13" t="s">
        <v>66</v>
      </c>
      <c r="D15" s="7" t="str">
        <f>_xlfn.XLOOKUP(A15,'All Courses'!A:A,'All Courses'!D:D,"Not found")</f>
        <v>course</v>
      </c>
      <c r="E15" s="7" t="str">
        <f>_xlfn.XLOOKUP(A15,'OJT IDs'!A:A,'OJT IDs'!N:N,"Not found")</f>
        <v>IHG056045-OJT</v>
      </c>
      <c r="F15" s="9" t="str">
        <f>_xlfn.XLOOKUP(E15,'OJT Links'!E:E,'OJT Links'!H:H,"Not found")</f>
        <v>https://mylearning.sumtotal.host/core/pillarRedirect?relyingParty=LM&amp;url=app%2Fmanagement%2FLMS_ActDetails.aspx%3FActivityId%3D468095%26UserMode%3D0</v>
      </c>
    </row>
    <row r="16" spans="1:6" ht="28.8" x14ac:dyDescent="0.3">
      <c r="A16" s="10" t="s">
        <v>79</v>
      </c>
      <c r="B16" s="10" t="s">
        <v>80</v>
      </c>
      <c r="C16" s="42"/>
      <c r="D16" s="7"/>
      <c r="E16" s="7" t="str">
        <f>_xlfn.XLOOKUP(A16,'OJT IDs'!A:A,'OJT IDs'!N:N,"Not found")</f>
        <v>IHG5969164-OJT</v>
      </c>
      <c r="F16" s="9" t="str">
        <f>_xlfn.XLOOKUP(E16,'OJT Links'!E:E,'OJT Links'!H:H,"Not found")</f>
        <v>https://mylearning.sumtotal.host/core/pillarRedirect?relyingParty=LM&amp;url=app%2Fmanagement%2FLMS_ActDetails.aspx%3FActivityId%3D602920%26UserMode%3D0</v>
      </c>
    </row>
    <row r="17" spans="1:6" ht="57.6" x14ac:dyDescent="0.3">
      <c r="A17" s="10" t="s">
        <v>81</v>
      </c>
      <c r="B17" s="44" t="s">
        <v>69</v>
      </c>
      <c r="C17" s="13" t="s">
        <v>66</v>
      </c>
      <c r="D17" s="7" t="str">
        <f>_xlfn.XLOOKUP(A17,'All Courses'!A:A,'All Courses'!D:D,"Not found")</f>
        <v>course</v>
      </c>
      <c r="E17" s="7" t="str">
        <f>_xlfn.XLOOKUP(A17,'OJT IDs'!A:A,'OJT IDs'!N:N,"Not found")</f>
        <v>IHG051263-OJT</v>
      </c>
      <c r="F17" s="9" t="str">
        <f>_xlfn.XLOOKUP(E17,'OJT Links'!E:E,'OJT Links'!H:H,"Not found")</f>
        <v>https://mylearning.sumtotal.host/core/pillarRedirect?relyingParty=LM&amp;url=app%2Fmanagement%2FLMS_ActDetails.aspx%3FActivityId%3D468089%26UserMode%3D0</v>
      </c>
    </row>
    <row r="18" spans="1:6" s="146" customFormat="1" ht="28.8" x14ac:dyDescent="0.3">
      <c r="A18" s="128" t="s">
        <v>82</v>
      </c>
      <c r="B18" s="147" t="s">
        <v>58</v>
      </c>
      <c r="C18" s="143" t="s">
        <v>66</v>
      </c>
      <c r="D18" s="144" t="str">
        <f>_xlfn.XLOOKUP(A18,'All Courses'!A:A,'All Courses'!D:D,"Not found")</f>
        <v>course</v>
      </c>
      <c r="E18" s="144" t="str">
        <f>_xlfn.XLOOKUP(A18,'OJT IDs'!A:A,'OJT IDs'!N:N,"Not found")</f>
        <v>IHG058044-OJT</v>
      </c>
      <c r="F18" s="145" t="str">
        <f>_xlfn.XLOOKUP(E18,'OJT Links'!E:E,'OJT Links'!H:H,"Not found")</f>
        <v>Not found</v>
      </c>
    </row>
    <row r="19" spans="1:6" ht="17.399999999999999" x14ac:dyDescent="0.3">
      <c r="A19" s="10" t="s">
        <v>83</v>
      </c>
      <c r="B19" s="44" t="s">
        <v>84</v>
      </c>
      <c r="C19" s="42"/>
      <c r="D19" s="7"/>
      <c r="E19" s="7" t="str">
        <f>_xlfn.XLOOKUP(A19,'OJT IDs'!A:A,'OJT IDs'!N:N,"Not found")</f>
        <v>IHG8342629-OJT</v>
      </c>
      <c r="F19" s="9" t="str">
        <f>_xlfn.XLOOKUP(E19,'OJT Links'!E:E,'OJT Links'!H:H,"Not found")</f>
        <v>https://mylearning.sumtotal.host/core/pillarRedirect?relyingParty=LM&amp;url=app%2Fmanagement%2FLMS_ActDetails.aspx%3FActivityId%3D603028%26UserMode%3D0</v>
      </c>
    </row>
    <row r="20" spans="1:6" ht="115.2" x14ac:dyDescent="0.3">
      <c r="A20" s="10" t="s">
        <v>137</v>
      </c>
      <c r="B20" s="44" t="s">
        <v>69</v>
      </c>
      <c r="C20" s="13" t="s">
        <v>138</v>
      </c>
      <c r="D20" s="7" t="str">
        <f>_xlfn.XLOOKUP(A20,'All Courses'!A:A,'All Courses'!D:D,"Not found")</f>
        <v>course</v>
      </c>
      <c r="E20" s="7" t="str">
        <f>_xlfn.XLOOKUP(A20,'OJT IDs'!A:A,'OJT IDs'!N:N,"Not found")</f>
        <v>IHG1667137-OJT</v>
      </c>
      <c r="F20" s="9" t="str">
        <f>_xlfn.XLOOKUP(E20,'OJT Links'!E:E,'OJT Links'!H:H,"Not found")</f>
        <v>https://mylearning.sumtotal.host/core/pillarRedirect?relyingParty=LM&amp;url=app%2Fmanagement%2FLMS_ActDetails.aspx%3FActivityId%3D593195%26UserMode%3D0</v>
      </c>
    </row>
    <row r="21" spans="1:6" ht="17.399999999999999" x14ac:dyDescent="0.3">
      <c r="A21" s="10"/>
      <c r="B21" s="44"/>
      <c r="C21" s="42"/>
      <c r="D21" s="7">
        <f>_xlfn.XLOOKUP(A21,'All Courses'!A:A,'All Courses'!D:D,"Not found")</f>
        <v>0</v>
      </c>
      <c r="E21" s="7"/>
    </row>
    <row r="22" spans="1:6" ht="17.399999999999999" x14ac:dyDescent="0.3">
      <c r="A22" s="86"/>
      <c r="B22" s="44"/>
      <c r="C22" s="42"/>
      <c r="D22" s="7">
        <f>_xlfn.XLOOKUP(A22,'All Courses'!A:A,'All Courses'!D:D,"Not found")</f>
        <v>0</v>
      </c>
    </row>
    <row r="23" spans="1:6" ht="17.399999999999999" x14ac:dyDescent="0.3">
      <c r="C23" s="77"/>
      <c r="D23" s="7">
        <f>_xlfn.XLOOKUP(A23,'All Courses'!A:A,'All Courses'!D:D,"Not found")</f>
        <v>0</v>
      </c>
    </row>
    <row r="24" spans="1:6" ht="17.399999999999999" x14ac:dyDescent="0.3">
      <c r="D24" s="7">
        <f>_xlfn.XLOOKUP(A24,'All Courses'!A:A,'All Courses'!D:D,"Not found")</f>
        <v>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2ABC1984-6219-4EC1-9EAC-76911AD34164}"/>
    <hyperlink ref="C5" r:id="rId2" xr:uid="{383F146C-2C4C-4734-968B-C3C0028792EB}"/>
    <hyperlink ref="C4" r:id="rId3" xr:uid="{FF2FA8A4-548F-4215-8C70-3B5B2B199E58}"/>
    <hyperlink ref="C10" r:id="rId4" xr:uid="{4808E846-D68E-4F2E-9DFF-589E5B320279}"/>
    <hyperlink ref="C11" r:id="rId5" xr:uid="{A336C00A-66DB-461A-ABFD-6DA8B5A0751C}"/>
    <hyperlink ref="C9" r:id="rId6" xr:uid="{AC9688E5-E34F-4232-89C5-FF1CE9E37067}"/>
    <hyperlink ref="C12" r:id="rId7" xr:uid="{333229EB-9EBA-4831-8E10-DFDB792B0DAE}"/>
    <hyperlink ref="C13" r:id="rId8" xr:uid="{BDEA9F78-1B45-47C5-80FE-B2C4F29EE230}"/>
    <hyperlink ref="C14" r:id="rId9" display="Link" xr:uid="{6C6FC66F-3194-46F8-BFF0-297E9B824819}"/>
    <hyperlink ref="C15" r:id="rId10" xr:uid="{BC8E5807-A621-43B5-84A6-28590F4624FB}"/>
    <hyperlink ref="C17" r:id="rId11" xr:uid="{D35B283E-F9AA-4B42-A8C7-F5B85C77C703}"/>
    <hyperlink ref="C18" r:id="rId12" xr:uid="{10833317-6257-43A5-90F3-A396D9E99D67}"/>
    <hyperlink ref="C20" r:id="rId13" xr:uid="{E0D93CEA-AC7D-4044-80D0-3AFF268B7B12}"/>
  </hyperlinks>
  <pageMargins left="0.7" right="0.7" top="0.75" bottom="0.75" header="0.3" footer="0.3"/>
  <pageSetup paperSize="17" orientation="portrait" r:id="rId1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34D8-EA9A-4E7D-ABE0-D62742F77F94}">
  <dimension ref="A1:F41"/>
  <sheetViews>
    <sheetView zoomScale="85" zoomScaleNormal="85" workbookViewId="0">
      <pane xSplit="1" ySplit="1" topLeftCell="B2" activePane="bottomRight" state="frozen"/>
      <selection pane="topRight" activeCell="N75" sqref="N75"/>
      <selection pane="bottomLeft" activeCell="N75" sqref="N75"/>
      <selection pane="bottomRight" sqref="A1:A1048576"/>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146.109375" style="2" bestFit="1"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2" t="s">
        <v>56</v>
      </c>
      <c r="B2" s="10" t="s">
        <v>57</v>
      </c>
      <c r="C2" s="42"/>
      <c r="D2" s="7"/>
      <c r="E2" s="7" t="str">
        <f>_xlfn.XLOOKUP(A2,'OJT IDs'!A:A,'OJT IDs'!N:N,"Not found")</f>
        <v>IHG6321776-OJT</v>
      </c>
      <c r="F2" s="9" t="str">
        <f>_xlfn.XLOOKUP(E2,'OJT Links'!E:E,'OJT Links'!H:H,"Not found")</f>
        <v>https://mylearning.sumtotal.host/core/pillarRedirect?relyingParty=LM&amp;url=app%2Fmanagement%2FLMS_ActDetails.aspx%3FActivityId%3D601648%26UserMode%3D0</v>
      </c>
    </row>
    <row r="3" spans="1:6" ht="64.95" customHeight="1" x14ac:dyDescent="0.3">
      <c r="A3" s="42" t="s">
        <v>574</v>
      </c>
      <c r="B3" s="44" t="s">
        <v>58</v>
      </c>
      <c r="C3" s="12" t="s">
        <v>59</v>
      </c>
      <c r="D3" s="7" t="str">
        <f>_xlfn.XLOOKUP(A3,'All Courses'!A:A,'All Courses'!D:D,"Not found")</f>
        <v>course</v>
      </c>
      <c r="E3" s="7" t="str">
        <f>_xlfn.XLOOKUP(A3,'OJT IDs'!A:A,'OJT IDs'!N:N,"Not found")</f>
        <v>IHG0061303-OJT</v>
      </c>
      <c r="F3" s="9" t="str">
        <f>_xlfn.XLOOKUP(E3,'OJT Links'!E:E,'OJT Links'!H:H,"Not found")</f>
        <v>https://mylearning.sumtotal.host/core/pillarRedirect?relyingParty=LM&amp;url=app%2Fmanagement%2FLMS_ActDetails.aspx%3FActivityId%3D595005%26UserMode%3D0</v>
      </c>
    </row>
    <row r="4" spans="1:6" ht="64.95" customHeight="1" x14ac:dyDescent="0.3">
      <c r="A4" s="42" t="s">
        <v>60</v>
      </c>
      <c r="B4" s="10" t="s">
        <v>61</v>
      </c>
      <c r="C4" s="42"/>
      <c r="D4" s="7"/>
      <c r="E4" s="7" t="str">
        <f>_xlfn.XLOOKUP(A4,'OJT IDs'!A:A,'OJT IDs'!N:N,"Not found")</f>
        <v>IHG1885862-OJT</v>
      </c>
      <c r="F4" s="9" t="str">
        <f>_xlfn.XLOOKUP(E4,'OJT Links'!E:E,'OJT Links'!H:H,"Not found")</f>
        <v>https://mylearning.sumtotal.host/core/pillarRedirect?relyingParty=LM&amp;url=app%2Fmanagement%2FLMS_ActDetails.aspx%3FActivityId%3D601671%26UserMode%3D0</v>
      </c>
    </row>
    <row r="5" spans="1:6" s="146" customFormat="1" ht="100.8" x14ac:dyDescent="0.3">
      <c r="A5" s="128" t="s">
        <v>62</v>
      </c>
      <c r="B5" s="147" t="s">
        <v>58</v>
      </c>
      <c r="C5" s="143" t="s">
        <v>63</v>
      </c>
      <c r="D5" s="144" t="str">
        <f>_xlfn.XLOOKUP(A5,'All Courses'!A:A,'All Courses'!D:D,"Not found")</f>
        <v>Resource</v>
      </c>
      <c r="E5" s="144" t="str">
        <f>_xlfn.XLOOKUP(A5,'OJT IDs'!A:A,'OJT IDs'!N:N,"Not found")</f>
        <v>IHG0047626-OJT</v>
      </c>
      <c r="F5" s="145" t="str">
        <f>_xlfn.XLOOKUP(E5,'OJT Links'!E:E,'OJT Links'!H:H,"Not found")</f>
        <v>Not found</v>
      </c>
    </row>
    <row r="6" spans="1:6" ht="28.8" x14ac:dyDescent="0.3">
      <c r="A6" s="42" t="s">
        <v>64</v>
      </c>
      <c r="B6" s="10" t="s">
        <v>65</v>
      </c>
      <c r="C6" s="13" t="s">
        <v>66</v>
      </c>
      <c r="D6" s="7" t="str">
        <f>_xlfn.XLOOKUP(A6,'All Courses'!A:A,'All Courses'!D:D,"Not found")</f>
        <v>course</v>
      </c>
      <c r="E6" s="7" t="str">
        <f>_xlfn.XLOOKUP(A6,'OJT IDs'!A:A,'OJT IDs'!N:N,"Not found")</f>
        <v>IHG9191264-OJT</v>
      </c>
      <c r="F6" s="9" t="str">
        <f>_xlfn.XLOOKUP(E6,'OJT Links'!E:E,'OJT Links'!H:H,"Not found")</f>
        <v>https://mylearning.sumtotal.host/core/pillarRedirect?relyingParty=LM&amp;url=app%2Fmanagement%2FLMS_ActDetails.aspx%3FActivityId%3D601724%26UserMode%3D0</v>
      </c>
    </row>
    <row r="7" spans="1:6" ht="43.2" x14ac:dyDescent="0.3">
      <c r="A7" s="42" t="s">
        <v>67</v>
      </c>
      <c r="B7" s="10" t="s">
        <v>68</v>
      </c>
      <c r="C7" s="42"/>
      <c r="D7" s="7"/>
      <c r="E7" s="7" t="str">
        <f>_xlfn.XLOOKUP(A7,'OJT IDs'!A:A,'OJT IDs'!N:N,"Not found")</f>
        <v>IHG8611503-OJT</v>
      </c>
      <c r="F7" s="9" t="str">
        <f>_xlfn.XLOOKUP(E7,'OJT Links'!E:E,'OJT Links'!H:H,"Not found")</f>
        <v>https://mylearning.sumtotal.host/core/pillarRedirect?relyingParty=LM&amp;url=app%2Fmanagement%2FLMS_ActDetails.aspx%3FActivityId%3D601740%26UserMode%3D0</v>
      </c>
    </row>
    <row r="8" spans="1:6" ht="115.2" x14ac:dyDescent="0.3">
      <c r="A8" s="10" t="s">
        <v>399</v>
      </c>
      <c r="B8" s="44" t="s">
        <v>69</v>
      </c>
      <c r="C8" s="42" t="s">
        <v>70</v>
      </c>
      <c r="D8" s="7" t="str">
        <f>_xlfn.XLOOKUP(A8,'All Courses'!A:A,'All Courses'!D:D,"Not found")</f>
        <v>course</v>
      </c>
      <c r="E8" s="7" t="str">
        <f>_xlfn.XLOOKUP(A8,'OJT IDs'!A:A,'OJT IDs'!N:N,"Not found")</f>
        <v>IHG0049491-OJT</v>
      </c>
      <c r="F8" s="9" t="str">
        <f>_xlfn.XLOOKUP(E8,'OJT Links'!E:E,'OJT Links'!H:H,"Not found")</f>
        <v>https://mylearning.sumtotal.host/core/pillarRedirect?relyingParty=LM&amp;url=app%2Fmanagement%2FLMS_ActDetails.aspx%3FActivityId%3D595027%26UserMode%3D0</v>
      </c>
    </row>
    <row r="9" spans="1:6" ht="115.2" x14ac:dyDescent="0.3">
      <c r="A9" s="10" t="s">
        <v>71</v>
      </c>
      <c r="B9" s="44" t="s">
        <v>58</v>
      </c>
      <c r="C9" s="43" t="s">
        <v>72</v>
      </c>
      <c r="D9" s="7" t="str">
        <f>_xlfn.XLOOKUP(A9,'All Courses'!A:A,'All Courses'!D:D,"Not found")</f>
        <v>course</v>
      </c>
      <c r="E9" s="7" t="str">
        <f>_xlfn.XLOOKUP(A9,'OJT IDs'!A:A,'OJT IDs'!N:N,"Not found")</f>
        <v>IHG0054667-OJT</v>
      </c>
      <c r="F9" s="9" t="str">
        <f>_xlfn.XLOOKUP(E9,'OJT Links'!E:E,'OJT Links'!H:H,"Not found")</f>
        <v>https://mylearning.sumtotal.host/core/pillarRedirect?relyingParty=LM&amp;url=app%2Fmanagement%2FLMS_ActDetails.aspx%3FActivityId%3D595030%26UserMode%3D0</v>
      </c>
    </row>
    <row r="10" spans="1:6" ht="57.6" x14ac:dyDescent="0.3">
      <c r="A10" s="42" t="s">
        <v>556</v>
      </c>
      <c r="B10" s="44" t="s">
        <v>69</v>
      </c>
      <c r="C10" s="13" t="s">
        <v>66</v>
      </c>
      <c r="D10" s="7" t="str">
        <f>_xlfn.XLOOKUP(A10,'All Courses'!A:A,'All Courses'!D:D,"Not found")</f>
        <v>course</v>
      </c>
      <c r="E10" s="7" t="str">
        <f>_xlfn.XLOOKUP(A10,'OJT IDs'!A:A,'OJT IDs'!N:N,"Not found")</f>
        <v>IHG7376524-OJT</v>
      </c>
      <c r="F10" s="9" t="str">
        <f>_xlfn.XLOOKUP(E10,'OJT Links'!E:E,'OJT Links'!H:H,"Not found")</f>
        <v>https://mylearning.sumtotal.host/core/pillarRedirect?relyingParty=LM&amp;url=app%2Fmanagement%2FLMS_ActDetails.aspx%3FActivityId%3D468097%26UserMode%3D0</v>
      </c>
    </row>
    <row r="11" spans="1:6" ht="57.6" x14ac:dyDescent="0.3">
      <c r="A11" s="42" t="s">
        <v>73</v>
      </c>
      <c r="B11" s="44" t="s">
        <v>69</v>
      </c>
      <c r="C11" s="13" t="s">
        <v>66</v>
      </c>
      <c r="D11" s="7" t="str">
        <f>_xlfn.XLOOKUP(A11,'All Courses'!A:A,'All Courses'!D:D,"Not found")</f>
        <v>course</v>
      </c>
      <c r="E11" s="7" t="str">
        <f>_xlfn.XLOOKUP(A11,'OJT IDs'!A:A,'OJT IDs'!N:N,"Not found")</f>
        <v>IHG1227263-OJT</v>
      </c>
      <c r="F11" s="9" t="str">
        <f>_xlfn.XLOOKUP(E11,'OJT Links'!E:E,'OJT Links'!H:H,"Not found")</f>
        <v>https://mylearning.sumtotal.host/core/pillarRedirect?relyingParty=LM&amp;url=app%2Fmanagement%2FLMS_ActDetails.aspx%3FActivityId%3D595028%26UserMode%3D0</v>
      </c>
    </row>
    <row r="12" spans="1:6" ht="57.6" x14ac:dyDescent="0.3">
      <c r="A12" s="78" t="s">
        <v>458</v>
      </c>
      <c r="B12" s="44" t="s">
        <v>69</v>
      </c>
      <c r="C12" s="13" t="s">
        <v>66</v>
      </c>
      <c r="D12" s="7" t="str">
        <f>_xlfn.XLOOKUP(A12,'All Courses'!A:A,'All Courses'!D:D,"Not found")</f>
        <v>course</v>
      </c>
      <c r="E12" s="7" t="str">
        <f>_xlfn.XLOOKUP(A12,'OJT IDs'!A:A,'OJT IDs'!N:N,"Not found")</f>
        <v>IHG052185-OJT</v>
      </c>
      <c r="F12" s="9" t="str">
        <f>_xlfn.XLOOKUP(E12,'OJT Links'!E:E,'OJT Links'!H:H,"Not found")</f>
        <v>https://mylearning.sumtotal.host/core/pillarRedirect?relyingParty=LM&amp;url=app%2Fmanagement%2FLMS_ActDetails.aspx%3FActivityId%3D595029%26UserMode%3D0</v>
      </c>
    </row>
    <row r="13" spans="1:6" ht="28.8" x14ac:dyDescent="0.3">
      <c r="A13" s="10" t="s">
        <v>74</v>
      </c>
      <c r="B13" s="44" t="s">
        <v>58</v>
      </c>
      <c r="C13" s="13" t="s">
        <v>66</v>
      </c>
      <c r="D13" s="7" t="str">
        <f>_xlfn.XLOOKUP(A13,'All Courses'!A:A,'All Courses'!D:D,"Not found")</f>
        <v>course</v>
      </c>
      <c r="E13" s="7" t="str">
        <f>_xlfn.XLOOKUP(A13,'OJT IDs'!A:A,'OJT IDs'!N:N,"Not found")</f>
        <v>IHG0047625-OJT</v>
      </c>
      <c r="F13" s="9" t="str">
        <f>_xlfn.XLOOKUP(E13,'OJT Links'!E:E,'OJT Links'!H:H,"Not found")</f>
        <v>https://mylearning.sumtotal.host/core/pillarRedirect?relyingParty=LM&amp;url=app%2Fmanagement%2FLMS_ActDetails.aspx%3FActivityId%3D596770%26UserMode%3D0</v>
      </c>
    </row>
    <row r="14" spans="1:6" ht="57.6" x14ac:dyDescent="0.3">
      <c r="A14" s="10" t="s">
        <v>404</v>
      </c>
      <c r="B14" s="44" t="s">
        <v>69</v>
      </c>
      <c r="C14" s="13" t="s">
        <v>66</v>
      </c>
      <c r="D14" s="7" t="str">
        <f>_xlfn.XLOOKUP(A14,'All Courses'!A:A,'All Courses'!D:D,"Not found")</f>
        <v>course</v>
      </c>
      <c r="E14" s="7" t="str">
        <f>_xlfn.XLOOKUP(A14,'OJT IDs'!A:A,'OJT IDs'!N:N,"Not found")</f>
        <v>IHG0056403-OJT</v>
      </c>
      <c r="F14" s="9" t="str">
        <f>_xlfn.XLOOKUP(E14,'OJT Links'!E:E,'OJT Links'!H:H,"Not found")</f>
        <v>https://mylearning.sumtotal.host/core/pillarRedirect?relyingParty=LM&amp;url=app%2Fmanagement%2FLMS_ActDetails.aspx%3FActivityId%3D596772%26UserMode%3D0</v>
      </c>
    </row>
    <row r="15" spans="1:6" ht="100.8" x14ac:dyDescent="0.3">
      <c r="A15" s="42" t="s">
        <v>408</v>
      </c>
      <c r="B15" s="44" t="s">
        <v>69</v>
      </c>
      <c r="C15" s="13" t="s">
        <v>85</v>
      </c>
      <c r="D15" s="7" t="str">
        <f>_xlfn.XLOOKUP(A15,'All Courses'!A:A,'All Courses'!D:D,"Not found")</f>
        <v>course</v>
      </c>
      <c r="E15" s="7" t="str">
        <f>_xlfn.XLOOKUP(A15,'OJT IDs'!A:A,'OJT IDs'!N:N,"Not found")</f>
        <v>IHG0057043-v2024-OJT</v>
      </c>
      <c r="F15" s="9" t="str">
        <f>_xlfn.XLOOKUP(E15,'OJT Links'!E:E,'OJT Links'!H:H,"Not found")</f>
        <v>https://mylearning.sumtotal.host/core/pillarRedirect?relyingParty=LM&amp;url=app%2Fmanagement%2FLMS_ActDetails.aspx%3FActivityId%3D468091%26UserMode%3D0</v>
      </c>
    </row>
    <row r="16" spans="1:6" ht="57.6" x14ac:dyDescent="0.3">
      <c r="A16" s="10" t="s">
        <v>470</v>
      </c>
      <c r="B16" s="44" t="s">
        <v>69</v>
      </c>
      <c r="C16" s="13" t="s">
        <v>66</v>
      </c>
      <c r="D16" s="7" t="str">
        <f>_xlfn.XLOOKUP(A16,'All Courses'!A:A,'All Courses'!D:D,"Not found")</f>
        <v>course</v>
      </c>
      <c r="E16" s="7" t="str">
        <f>_xlfn.XLOOKUP(A16,'OJT IDs'!A:A,'OJT IDs'!N:N,"Not found")</f>
        <v>IHG056045-OJT</v>
      </c>
      <c r="F16" s="9" t="str">
        <f>_xlfn.XLOOKUP(E16,'OJT Links'!E:E,'OJT Links'!H:H,"Not found")</f>
        <v>https://mylearning.sumtotal.host/core/pillarRedirect?relyingParty=LM&amp;url=app%2Fmanagement%2FLMS_ActDetails.aspx%3FActivityId%3D468095%26UserMode%3D0</v>
      </c>
    </row>
    <row r="17" spans="1:6" ht="28.8" x14ac:dyDescent="0.3">
      <c r="A17" s="42" t="s">
        <v>79</v>
      </c>
      <c r="B17" s="10" t="s">
        <v>80</v>
      </c>
      <c r="C17" s="42"/>
      <c r="D17" s="7"/>
      <c r="E17" s="7" t="str">
        <f>_xlfn.XLOOKUP(A17,'OJT IDs'!A:A,'OJT IDs'!N:N,"Not found")</f>
        <v>IHG5969164-OJT</v>
      </c>
      <c r="F17" s="9" t="str">
        <f>_xlfn.XLOOKUP(E17,'OJT Links'!E:E,'OJT Links'!H:H,"Not found")</f>
        <v>https://mylearning.sumtotal.host/core/pillarRedirect?relyingParty=LM&amp;url=app%2Fmanagement%2FLMS_ActDetails.aspx%3FActivityId%3D602920%26UserMode%3D0</v>
      </c>
    </row>
    <row r="18" spans="1:6" ht="115.2" x14ac:dyDescent="0.3">
      <c r="A18" s="40" t="s">
        <v>474</v>
      </c>
      <c r="B18" s="44" t="s">
        <v>58</v>
      </c>
      <c r="C18" s="12" t="s">
        <v>139</v>
      </c>
      <c r="D18" s="7" t="str">
        <f>_xlfn.XLOOKUP(A18,'All Courses'!A:A,'All Courses'!D:D,"Not found")</f>
        <v>course</v>
      </c>
      <c r="E18" s="7" t="str">
        <f>_xlfn.XLOOKUP(A18,'OJT IDs'!A:A,'OJT IDs'!N:N,"Not found")</f>
        <v>IHG057244-OJT</v>
      </c>
      <c r="F18" s="9" t="str">
        <f>_xlfn.XLOOKUP(E18,'OJT Links'!E:E,'OJT Links'!H:H,"Not found")</f>
        <v>https://mylearning.sumtotal.host/core/pillarRedirect?relyingParty=LM&amp;url=app%2Fmanagement%2FLMS_ActDetails.aspx%3FActivityId%3D596782%26UserMode%3D0</v>
      </c>
    </row>
    <row r="19" spans="1:6" ht="115.2" x14ac:dyDescent="0.3">
      <c r="A19" s="42" t="s">
        <v>544</v>
      </c>
      <c r="B19" s="44" t="s">
        <v>58</v>
      </c>
      <c r="C19" s="13" t="s">
        <v>140</v>
      </c>
      <c r="D19" s="7" t="str">
        <f>_xlfn.XLOOKUP(A19,'All Courses'!A:A,'All Courses'!D:D,"Not found")</f>
        <v>course</v>
      </c>
      <c r="E19" s="7" t="str">
        <f>_xlfn.XLOOKUP(A19,'OJT IDs'!A:A,'OJT IDs'!N:N,"Not found")</f>
        <v>IHG4839915-OJT</v>
      </c>
      <c r="F19" s="9" t="str">
        <f>_xlfn.XLOOKUP(E19,'OJT Links'!E:E,'OJT Links'!H:H,"Not found")</f>
        <v>https://mylearning.sumtotal.host/core/pillarRedirect?relyingParty=LM&amp;url=app%2Fmanagement%2FLMS_ActDetails.aspx%3FActivityId%3D596783%26UserMode%3D0</v>
      </c>
    </row>
    <row r="20" spans="1:6" ht="57.6" x14ac:dyDescent="0.3">
      <c r="A20" s="10" t="s">
        <v>81</v>
      </c>
      <c r="B20" s="44" t="s">
        <v>69</v>
      </c>
      <c r="C20" s="13" t="s">
        <v>66</v>
      </c>
      <c r="D20" s="7" t="str">
        <f>_xlfn.XLOOKUP(A20,'All Courses'!A:A,'All Courses'!D:D,"Not found")</f>
        <v>course</v>
      </c>
      <c r="E20" s="7" t="str">
        <f>_xlfn.XLOOKUP(A20,'OJT IDs'!A:A,'OJT IDs'!N:N,"Not found")</f>
        <v>IHG051263-OJT</v>
      </c>
      <c r="F20" s="9" t="str">
        <f>_xlfn.XLOOKUP(E20,'OJT Links'!E:E,'OJT Links'!H:H,"Not found")</f>
        <v>https://mylearning.sumtotal.host/core/pillarRedirect?relyingParty=LM&amp;url=app%2Fmanagement%2FLMS_ActDetails.aspx%3FActivityId%3D468089%26UserMode%3D0</v>
      </c>
    </row>
    <row r="21" spans="1:6" s="146" customFormat="1" ht="28.8" x14ac:dyDescent="0.3">
      <c r="A21" s="128" t="s">
        <v>82</v>
      </c>
      <c r="B21" s="147" t="s">
        <v>58</v>
      </c>
      <c r="C21" s="143" t="s">
        <v>66</v>
      </c>
      <c r="D21" s="144" t="str">
        <f>_xlfn.XLOOKUP(A21,'All Courses'!A:A,'All Courses'!D:D,"Not found")</f>
        <v>course</v>
      </c>
      <c r="E21" s="144" t="str">
        <f>_xlfn.XLOOKUP(A21,'OJT IDs'!A:A,'OJT IDs'!N:N,"Not found")</f>
        <v>IHG058044-OJT</v>
      </c>
      <c r="F21" s="145" t="str">
        <f>_xlfn.XLOOKUP(E21,'OJT Links'!E:E,'OJT Links'!H:H,"Not found")</f>
        <v>Not found</v>
      </c>
    </row>
    <row r="22" spans="1:6" ht="17.399999999999999" x14ac:dyDescent="0.3">
      <c r="A22" s="10" t="s">
        <v>83</v>
      </c>
      <c r="B22" s="44" t="s">
        <v>84</v>
      </c>
      <c r="C22" s="42"/>
      <c r="D22" s="7"/>
      <c r="E22" s="7" t="str">
        <f>_xlfn.XLOOKUP(A22,'OJT IDs'!A:A,'OJT IDs'!N:N,"Not found")</f>
        <v>IHG8342629-OJT</v>
      </c>
      <c r="F22" s="9" t="str">
        <f>_xlfn.XLOOKUP(E22,'OJT Links'!E:E,'OJT Links'!H:H,"Not found")</f>
        <v>https://mylearning.sumtotal.host/core/pillarRedirect?relyingParty=LM&amp;url=app%2Fmanagement%2FLMS_ActDetails.aspx%3FActivityId%3D603028%26UserMode%3D0</v>
      </c>
    </row>
    <row r="23" spans="1:6" ht="115.2" x14ac:dyDescent="0.3">
      <c r="A23" s="78" t="s">
        <v>141</v>
      </c>
      <c r="B23" s="44" t="s">
        <v>69</v>
      </c>
      <c r="C23" s="28" t="s">
        <v>142</v>
      </c>
      <c r="D23" s="7" t="str">
        <f>_xlfn.XLOOKUP(A23,'All Courses'!A:A,'All Courses'!D:D,"Not found")</f>
        <v>Course</v>
      </c>
      <c r="E23" s="7" t="str">
        <f>_xlfn.XLOOKUP(A23,'OJT IDs'!A:A,'OJT IDs'!N:N,"Not found")</f>
        <v>IHG058784-OJT</v>
      </c>
      <c r="F23" s="9" t="str">
        <f>_xlfn.XLOOKUP(E23,'OJT Links'!E:E,'OJT Links'!H:H,"Not found")</f>
        <v>https://mylearning.sumtotal.host/core/pillarRedirect?relyingParty=LM&amp;url=app%2Fmanagement%2FLMS_ActDetails.aspx%3FActivityId%3D596775%26UserMode%3D0</v>
      </c>
    </row>
    <row r="24" spans="1:6" ht="115.2" x14ac:dyDescent="0.3">
      <c r="A24" s="90" t="s">
        <v>143</v>
      </c>
      <c r="B24" s="44" t="s">
        <v>69</v>
      </c>
      <c r="C24" s="12" t="s">
        <v>144</v>
      </c>
      <c r="D24" s="7" t="str">
        <f>_xlfn.XLOOKUP(A24,'All Courses'!A:A,'All Courses'!D:D,"Not found")</f>
        <v>course</v>
      </c>
      <c r="E24" s="7" t="str">
        <f>_xlfn.XLOOKUP(A24,'OJT IDs'!A:A,'OJT IDs'!N:N,"Not found")</f>
        <v>IHG058783-OJT</v>
      </c>
      <c r="F24" s="9" t="str">
        <f>_xlfn.XLOOKUP(E24,'OJT Links'!E:E,'OJT Links'!H:H,"Not found")</f>
        <v>https://mylearning.sumtotal.host/core/pillarRedirect?relyingParty=LM&amp;url=app%2Fmanagement%2FLMS_ActDetails.aspx%3FActivityId%3D596776%26UserMode%3D0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3" r:id="rId1" xr:uid="{21BB3AB2-6684-47E9-B9E0-FC04FEDAD3D9}"/>
    <hyperlink ref="C6" r:id="rId2" xr:uid="{026900BA-3CDF-40ED-B354-CEFA2681831D}"/>
    <hyperlink ref="C5" r:id="rId3" xr:uid="{F2AAE603-8662-417E-A674-00838550F290}"/>
    <hyperlink ref="C11" r:id="rId4" xr:uid="{90AD7C44-6C91-46A7-866F-8F19A2A35CA7}"/>
    <hyperlink ref="C12" r:id="rId5" xr:uid="{73B1154F-E72F-46E3-B658-15319037333E}"/>
    <hyperlink ref="C10" r:id="rId6" xr:uid="{BE16C8DE-C5E9-413D-BA16-BE038402433F}"/>
    <hyperlink ref="C13" r:id="rId7" xr:uid="{65AE91B6-0602-431C-83E1-75B61915FD70}"/>
    <hyperlink ref="C14" r:id="rId8" xr:uid="{38FA4FBE-4CC4-4BA2-A2D9-C57A5E03EB44}"/>
    <hyperlink ref="C15" r:id="rId9" display="Link" xr:uid="{B7957500-FE29-4F45-90FE-B9A1AFDED91D}"/>
    <hyperlink ref="C16" r:id="rId10" xr:uid="{EAFD1B4B-725A-47C9-B07A-1ADFAB3C7D2D}"/>
    <hyperlink ref="C20" r:id="rId11" xr:uid="{7B802B82-C082-46BA-92A7-DAE60A9DF14D}"/>
    <hyperlink ref="C21" r:id="rId12" xr:uid="{4409AEA8-5812-47B6-8328-327177AD933B}"/>
    <hyperlink ref="C18" r:id="rId13" xr:uid="{1AE98198-D213-4A11-8B46-5550698C2309}"/>
    <hyperlink ref="C19" r:id="rId14" xr:uid="{7E72FEAA-1D13-4564-AE95-1AADFAA26EA6}"/>
    <hyperlink ref="C24" r:id="rId15" xr:uid="{953D0703-9788-4919-8A76-9AB32F8252C6}"/>
  </hyperlinks>
  <pageMargins left="0.7" right="0.7" top="0.75" bottom="0.75" header="0.3" footer="0.3"/>
  <pageSetup paperSize="17" orientation="portrait" r:id="rId1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868C5-0EE1-4A04-81DC-5AF486E4213B}">
  <dimension ref="A1:F41"/>
  <sheetViews>
    <sheetView zoomScale="85" zoomScaleNormal="85" workbookViewId="0">
      <pane xSplit="1" ySplit="1" topLeftCell="B16" activePane="bottomRight" state="frozen"/>
      <selection pane="topRight" activeCell="N75" sqref="N75"/>
      <selection pane="bottomLeft" activeCell="N75" sqref="N75"/>
      <selection pane="bottomRight" activeCell="F2" sqref="F2"/>
    </sheetView>
  </sheetViews>
  <sheetFormatPr defaultColWidth="8.6640625" defaultRowHeight="14.4" x14ac:dyDescent="0.3"/>
  <cols>
    <col min="1" max="1" width="51.88671875" style="4" bestFit="1" customWidth="1"/>
    <col min="2" max="2" width="43.6640625" style="1" customWidth="1"/>
    <col min="3" max="3" width="18.6640625" bestFit="1" customWidth="1"/>
    <col min="4" max="4" width="26.6640625" style="2" customWidth="1"/>
    <col min="5" max="5" width="31.6640625" style="1" bestFit="1" customWidth="1"/>
    <col min="6" max="6" width="26.6640625" style="2" customWidth="1"/>
  </cols>
  <sheetData>
    <row r="1" spans="1:6" s="3" customFormat="1" ht="45" customHeight="1" thickBot="1" x14ac:dyDescent="0.35">
      <c r="A1" s="5" t="s">
        <v>50</v>
      </c>
      <c r="B1" s="6" t="s">
        <v>51</v>
      </c>
      <c r="C1" s="6" t="s">
        <v>52</v>
      </c>
      <c r="D1" s="6" t="s">
        <v>53</v>
      </c>
      <c r="E1" s="8" t="s">
        <v>54</v>
      </c>
      <c r="F1" s="6" t="s">
        <v>55</v>
      </c>
    </row>
    <row r="2" spans="1:6" ht="64.95" customHeight="1" thickTop="1" x14ac:dyDescent="0.3">
      <c r="A2" s="40" t="s">
        <v>574</v>
      </c>
      <c r="B2" s="39" t="s">
        <v>58</v>
      </c>
      <c r="C2" s="12" t="s">
        <v>59</v>
      </c>
      <c r="D2" s="7" t="str">
        <f>_xlfn.XLOOKUP(A2,'All Courses'!A:A,'All Courses'!D:D,"Not found")</f>
        <v>course</v>
      </c>
      <c r="E2" s="7" t="str">
        <f>_xlfn.XLOOKUP(A2,'OJT IDs'!A:A,'OJT IDs'!N:N,"Not found")</f>
        <v>IHG0061303-OJT</v>
      </c>
      <c r="F2" s="9" t="str">
        <f>_xlfn.XLOOKUP(E2,'OJT Links'!E:E,'OJT Links'!H:H,"Not found")</f>
        <v>https://mylearning.sumtotal.host/core/pillarRedirect?relyingParty=LM&amp;url=app%2Fmanagement%2FLMS_ActDetails.aspx%3FActivityId%3D595005%26UserMode%3D0</v>
      </c>
    </row>
    <row r="3" spans="1:6" ht="64.95" customHeight="1" x14ac:dyDescent="0.3">
      <c r="A3" s="40" t="s">
        <v>60</v>
      </c>
      <c r="B3" s="10" t="s">
        <v>61</v>
      </c>
      <c r="C3" s="42"/>
      <c r="D3" s="7"/>
      <c r="E3" s="7" t="str">
        <f>_xlfn.XLOOKUP(A3,'OJT IDs'!A:A,'OJT IDs'!N:N,"Not found")</f>
        <v>IHG1885862-OJT</v>
      </c>
      <c r="F3" s="9" t="str">
        <f>_xlfn.XLOOKUP(E3,'OJT Links'!E:E,'OJT Links'!H:H,"Not found")</f>
        <v>https://mylearning.sumtotal.host/core/pillarRedirect?relyingParty=LM&amp;url=app%2Fmanagement%2FLMS_ActDetails.aspx%3FActivityId%3D601671%26UserMode%3D0</v>
      </c>
    </row>
    <row r="4" spans="1:6" s="146" customFormat="1" ht="64.95" customHeight="1" x14ac:dyDescent="0.3">
      <c r="A4" s="152" t="s">
        <v>62</v>
      </c>
      <c r="B4" s="153" t="s">
        <v>58</v>
      </c>
      <c r="C4" s="143" t="s">
        <v>63</v>
      </c>
      <c r="D4" s="144" t="str">
        <f>_xlfn.XLOOKUP(A4,'All Courses'!A:A,'All Courses'!D:D,"Not found")</f>
        <v>Resource</v>
      </c>
      <c r="E4" s="144" t="str">
        <f>_xlfn.XLOOKUP(A4,'OJT IDs'!A:A,'OJT IDs'!N:N,"Not found")</f>
        <v>IHG0047626-OJT</v>
      </c>
      <c r="F4" s="145" t="str">
        <f>_xlfn.XLOOKUP(E4,'OJT Links'!E:E,'OJT Links'!H:H,"Not found")</f>
        <v>Not found</v>
      </c>
    </row>
    <row r="5" spans="1:6" ht="28.8" x14ac:dyDescent="0.3">
      <c r="A5" s="40" t="s">
        <v>64</v>
      </c>
      <c r="B5" s="10" t="s">
        <v>65</v>
      </c>
      <c r="C5" s="13" t="s">
        <v>66</v>
      </c>
      <c r="D5" s="7" t="str">
        <f>_xlfn.XLOOKUP(A5,'All Courses'!A:A,'All Courses'!D:D,"Not found")</f>
        <v>course</v>
      </c>
      <c r="E5" s="7" t="str">
        <f>_xlfn.XLOOKUP(A5,'OJT IDs'!A:A,'OJT IDs'!N:N,"Not found")</f>
        <v>IHG9191264-OJT</v>
      </c>
      <c r="F5" s="9" t="str">
        <f>_xlfn.XLOOKUP(E5,'OJT Links'!E:E,'OJT Links'!H:H,"Not found")</f>
        <v>https://mylearning.sumtotal.host/core/pillarRedirect?relyingParty=LM&amp;url=app%2Fmanagement%2FLMS_ActDetails.aspx%3FActivityId%3D601724%26UserMode%3D0</v>
      </c>
    </row>
    <row r="6" spans="1:6" ht="43.2" x14ac:dyDescent="0.3">
      <c r="A6" s="40" t="s">
        <v>67</v>
      </c>
      <c r="B6" s="10" t="s">
        <v>68</v>
      </c>
      <c r="C6" s="42"/>
      <c r="D6" s="7"/>
      <c r="E6" s="7" t="str">
        <f>_xlfn.XLOOKUP(A6,'OJT IDs'!A:A,'OJT IDs'!N:N,"Not found")</f>
        <v>IHG8611503-OJT</v>
      </c>
      <c r="F6" s="9" t="str">
        <f>_xlfn.XLOOKUP(E6,'OJT Links'!E:E,'OJT Links'!H:H,"Not found")</f>
        <v>https://mylearning.sumtotal.host/core/pillarRedirect?relyingParty=LM&amp;url=app%2Fmanagement%2FLMS_ActDetails.aspx%3FActivityId%3D601740%26UserMode%3D0</v>
      </c>
    </row>
    <row r="7" spans="1:6" ht="115.2" x14ac:dyDescent="0.3">
      <c r="A7" s="38" t="s">
        <v>399</v>
      </c>
      <c r="B7" s="39" t="s">
        <v>69</v>
      </c>
      <c r="C7" s="42" t="s">
        <v>70</v>
      </c>
      <c r="D7" s="7" t="str">
        <f>_xlfn.XLOOKUP(A7,'All Courses'!A:A,'All Courses'!D:D,"Not found")</f>
        <v>course</v>
      </c>
      <c r="E7" s="7" t="str">
        <f>_xlfn.XLOOKUP(A7,'OJT IDs'!A:A,'OJT IDs'!N:N,"Not found")</f>
        <v>IHG0049491-OJT</v>
      </c>
      <c r="F7" s="9" t="str">
        <f>_xlfn.XLOOKUP(E7,'OJT Links'!E:E,'OJT Links'!H:H,"Not found")</f>
        <v>https://mylearning.sumtotal.host/core/pillarRedirect?relyingParty=LM&amp;url=app%2Fmanagement%2FLMS_ActDetails.aspx%3FActivityId%3D595027%26UserMode%3D0</v>
      </c>
    </row>
    <row r="8" spans="1:6" ht="115.2" x14ac:dyDescent="0.3">
      <c r="A8" s="38" t="s">
        <v>71</v>
      </c>
      <c r="B8" s="39" t="s">
        <v>58</v>
      </c>
      <c r="C8" s="43" t="s">
        <v>72</v>
      </c>
      <c r="D8" s="7" t="str">
        <f>_xlfn.XLOOKUP(A8,'All Courses'!A:A,'All Courses'!D:D,"Not found")</f>
        <v>course</v>
      </c>
      <c r="E8" s="7" t="str">
        <f>_xlfn.XLOOKUP(A8,'OJT IDs'!A:A,'OJT IDs'!N:N,"Not found")</f>
        <v>IHG0054667-OJT</v>
      </c>
      <c r="F8" s="9" t="str">
        <f>_xlfn.XLOOKUP(E8,'OJT Links'!E:E,'OJT Links'!H:H,"Not found")</f>
        <v>https://mylearning.sumtotal.host/core/pillarRedirect?relyingParty=LM&amp;url=app%2Fmanagement%2FLMS_ActDetails.aspx%3FActivityId%3D595030%26UserMode%3D0</v>
      </c>
    </row>
    <row r="9" spans="1:6" ht="57.6" x14ac:dyDescent="0.3">
      <c r="A9" s="40" t="s">
        <v>556</v>
      </c>
      <c r="B9" s="39" t="s">
        <v>69</v>
      </c>
      <c r="C9" s="13" t="s">
        <v>66</v>
      </c>
      <c r="D9" s="7" t="str">
        <f>_xlfn.XLOOKUP(A9,'All Courses'!A:A,'All Courses'!D:D,"Not found")</f>
        <v>course</v>
      </c>
      <c r="E9" s="7" t="str">
        <f>_xlfn.XLOOKUP(A9,'OJT IDs'!A:A,'OJT IDs'!N:N,"Not found")</f>
        <v>IHG7376524-OJT</v>
      </c>
      <c r="F9" s="9" t="str">
        <f>_xlfn.XLOOKUP(E9,'OJT Links'!E:E,'OJT Links'!H:H,"Not found")</f>
        <v>https://mylearning.sumtotal.host/core/pillarRedirect?relyingParty=LM&amp;url=app%2Fmanagement%2FLMS_ActDetails.aspx%3FActivityId%3D468097%26UserMode%3D0</v>
      </c>
    </row>
    <row r="10" spans="1:6" ht="57.6" x14ac:dyDescent="0.3">
      <c r="A10" s="40" t="s">
        <v>73</v>
      </c>
      <c r="B10" s="39" t="s">
        <v>69</v>
      </c>
      <c r="C10" s="13" t="s">
        <v>66</v>
      </c>
      <c r="D10" s="7" t="str">
        <f>_xlfn.XLOOKUP(A10,'All Courses'!A:A,'All Courses'!D:D,"Not found")</f>
        <v>course</v>
      </c>
      <c r="E10" s="7" t="str">
        <f>_xlfn.XLOOKUP(A10,'OJT IDs'!A:A,'OJT IDs'!N:N,"Not found")</f>
        <v>IHG1227263-OJT</v>
      </c>
      <c r="F10" s="9" t="str">
        <f>_xlfn.XLOOKUP(E10,'OJT Links'!E:E,'OJT Links'!H:H,"Not found")</f>
        <v>https://mylearning.sumtotal.host/core/pillarRedirect?relyingParty=LM&amp;url=app%2Fmanagement%2FLMS_ActDetails.aspx%3FActivityId%3D595028%26UserMode%3D0</v>
      </c>
    </row>
    <row r="11" spans="1:6" ht="57.6" x14ac:dyDescent="0.3">
      <c r="A11" s="91" t="s">
        <v>458</v>
      </c>
      <c r="B11" s="39" t="s">
        <v>69</v>
      </c>
      <c r="C11" s="13" t="s">
        <v>66</v>
      </c>
      <c r="D11" s="7" t="str">
        <f>_xlfn.XLOOKUP(A11,'All Courses'!A:A,'All Courses'!D:D,"Not found")</f>
        <v>course</v>
      </c>
      <c r="E11" s="7" t="str">
        <f>_xlfn.XLOOKUP(A11,'OJT IDs'!A:A,'OJT IDs'!N:N,"Not found")</f>
        <v>IHG052185-OJT</v>
      </c>
      <c r="F11" s="9" t="str">
        <f>_xlfn.XLOOKUP(E11,'OJT Links'!E:E,'OJT Links'!H:H,"Not found")</f>
        <v>https://mylearning.sumtotal.host/core/pillarRedirect?relyingParty=LM&amp;url=app%2Fmanagement%2FLMS_ActDetails.aspx%3FActivityId%3D595029%26UserMode%3D0</v>
      </c>
    </row>
    <row r="12" spans="1:6" ht="28.8" x14ac:dyDescent="0.3">
      <c r="A12" s="38" t="s">
        <v>74</v>
      </c>
      <c r="B12" s="39" t="s">
        <v>58</v>
      </c>
      <c r="C12" s="13" t="s">
        <v>66</v>
      </c>
      <c r="D12" s="7" t="str">
        <f>_xlfn.XLOOKUP(A12,'All Courses'!A:A,'All Courses'!D:D,"Not found")</f>
        <v>course</v>
      </c>
      <c r="E12" s="7" t="str">
        <f>_xlfn.XLOOKUP(A12,'OJT IDs'!A:A,'OJT IDs'!N:N,"Not found")</f>
        <v>IHG0047625-OJT</v>
      </c>
      <c r="F12" s="9" t="str">
        <f>_xlfn.XLOOKUP(E12,'OJT Links'!E:E,'OJT Links'!H:H,"Not found")</f>
        <v>https://mylearning.sumtotal.host/core/pillarRedirect?relyingParty=LM&amp;url=app%2Fmanagement%2FLMS_ActDetails.aspx%3FActivityId%3D596770%26UserMode%3D0</v>
      </c>
    </row>
    <row r="13" spans="1:6" ht="57.6" x14ac:dyDescent="0.3">
      <c r="A13" s="38" t="s">
        <v>404</v>
      </c>
      <c r="B13" s="39" t="s">
        <v>69</v>
      </c>
      <c r="C13" s="13" t="s">
        <v>66</v>
      </c>
      <c r="D13" s="7" t="str">
        <f>_xlfn.XLOOKUP(A13,'All Courses'!A:A,'All Courses'!D:D,"Not found")</f>
        <v>course</v>
      </c>
      <c r="E13" s="7" t="str">
        <f>_xlfn.XLOOKUP(A13,'OJT IDs'!A:A,'OJT IDs'!N:N,"Not found")</f>
        <v>IHG0056403-OJT</v>
      </c>
      <c r="F13" s="9" t="str">
        <f>_xlfn.XLOOKUP(E13,'OJT Links'!E:E,'OJT Links'!H:H,"Not found")</f>
        <v>https://mylearning.sumtotal.host/core/pillarRedirect?relyingParty=LM&amp;url=app%2Fmanagement%2FLMS_ActDetails.aspx%3FActivityId%3D596772%26UserMode%3D0</v>
      </c>
    </row>
    <row r="14" spans="1:6" ht="100.8" x14ac:dyDescent="0.3">
      <c r="A14" s="40" t="s">
        <v>408</v>
      </c>
      <c r="B14" s="39" t="s">
        <v>69</v>
      </c>
      <c r="C14" s="13" t="s">
        <v>85</v>
      </c>
      <c r="D14" s="7" t="str">
        <f>_xlfn.XLOOKUP(A14,'All Courses'!A:A,'All Courses'!D:D,"Not found")</f>
        <v>course</v>
      </c>
      <c r="E14" s="7" t="str">
        <f>_xlfn.XLOOKUP(A14,'OJT IDs'!A:A,'OJT IDs'!N:N,"Not found")</f>
        <v>IHG0057043-v2024-OJT</v>
      </c>
      <c r="F14" s="9" t="str">
        <f>_xlfn.XLOOKUP(E14,'OJT Links'!E:E,'OJT Links'!H:H,"Not found")</f>
        <v>https://mylearning.sumtotal.host/core/pillarRedirect?relyingParty=LM&amp;url=app%2Fmanagement%2FLMS_ActDetails.aspx%3FActivityId%3D468091%26UserMode%3D0</v>
      </c>
    </row>
    <row r="15" spans="1:6" ht="57.6" x14ac:dyDescent="0.3">
      <c r="A15" s="38" t="s">
        <v>470</v>
      </c>
      <c r="B15" s="39" t="s">
        <v>69</v>
      </c>
      <c r="C15" s="13" t="s">
        <v>66</v>
      </c>
      <c r="D15" s="7" t="str">
        <f>_xlfn.XLOOKUP(A15,'All Courses'!A:A,'All Courses'!D:D,"Not found")</f>
        <v>course</v>
      </c>
      <c r="E15" s="7" t="str">
        <f>_xlfn.XLOOKUP(A15,'OJT IDs'!A:A,'OJT IDs'!N:N,"Not found")</f>
        <v>IHG056045-OJT</v>
      </c>
      <c r="F15" s="9" t="str">
        <f>_xlfn.XLOOKUP(E15,'OJT Links'!E:E,'OJT Links'!H:H,"Not found")</f>
        <v>https://mylearning.sumtotal.host/core/pillarRedirect?relyingParty=LM&amp;url=app%2Fmanagement%2FLMS_ActDetails.aspx%3FActivityId%3D468095%26UserMode%3D0</v>
      </c>
    </row>
    <row r="16" spans="1:6" ht="28.8" x14ac:dyDescent="0.3">
      <c r="A16" s="40" t="s">
        <v>79</v>
      </c>
      <c r="B16" s="10" t="s">
        <v>80</v>
      </c>
      <c r="C16" s="42"/>
      <c r="D16" s="7"/>
      <c r="E16" s="7" t="str">
        <f>_xlfn.XLOOKUP(A16,'OJT IDs'!A:A,'OJT IDs'!N:N,"Not found")</f>
        <v>IHG5969164-OJT</v>
      </c>
      <c r="F16" s="9" t="str">
        <f>_xlfn.XLOOKUP(E16,'OJT Links'!E:E,'OJT Links'!H:H,"Not found")</f>
        <v>https://mylearning.sumtotal.host/core/pillarRedirect?relyingParty=LM&amp;url=app%2Fmanagement%2FLMS_ActDetails.aspx%3FActivityId%3D602920%26UserMode%3D0</v>
      </c>
    </row>
    <row r="17" spans="1:6" ht="57.6" x14ac:dyDescent="0.3">
      <c r="A17" s="38" t="s">
        <v>81</v>
      </c>
      <c r="B17" s="39" t="s">
        <v>69</v>
      </c>
      <c r="C17" s="13" t="s">
        <v>66</v>
      </c>
      <c r="D17" s="7" t="str">
        <f>_xlfn.XLOOKUP(A17,'All Courses'!A:A,'All Courses'!D:D,"Not found")</f>
        <v>course</v>
      </c>
      <c r="E17" s="7" t="str">
        <f>_xlfn.XLOOKUP(A17,'OJT IDs'!A:A,'OJT IDs'!N:N,"Not found")</f>
        <v>IHG051263-OJT</v>
      </c>
      <c r="F17" s="9" t="str">
        <f>_xlfn.XLOOKUP(E17,'OJT Links'!E:E,'OJT Links'!H:H,"Not found")</f>
        <v>https://mylearning.sumtotal.host/core/pillarRedirect?relyingParty=LM&amp;url=app%2Fmanagement%2FLMS_ActDetails.aspx%3FActivityId%3D468089%26UserMode%3D0</v>
      </c>
    </row>
    <row r="18" spans="1:6" s="146" customFormat="1" ht="28.8" x14ac:dyDescent="0.3">
      <c r="A18" s="152" t="s">
        <v>82</v>
      </c>
      <c r="B18" s="153" t="s">
        <v>58</v>
      </c>
      <c r="C18" s="143" t="s">
        <v>66</v>
      </c>
      <c r="D18" s="144" t="str">
        <f>_xlfn.XLOOKUP(A18,'All Courses'!A:A,'All Courses'!D:D,"Not found")</f>
        <v>course</v>
      </c>
      <c r="E18" s="144" t="str">
        <f>_xlfn.XLOOKUP(A18,'OJT IDs'!A:A,'OJT IDs'!N:N,"Not found")</f>
        <v>IHG058044-OJT</v>
      </c>
      <c r="F18" s="145" t="str">
        <f>_xlfn.XLOOKUP(E18,'OJT Links'!E:E,'OJT Links'!H:H,"Not found")</f>
        <v>Not found</v>
      </c>
    </row>
    <row r="19" spans="1:6" ht="17.399999999999999" x14ac:dyDescent="0.3">
      <c r="A19" s="38" t="s">
        <v>83</v>
      </c>
      <c r="B19" s="39" t="s">
        <v>84</v>
      </c>
      <c r="C19" s="42"/>
      <c r="D19" s="7"/>
      <c r="E19" s="7" t="str">
        <f>_xlfn.XLOOKUP(A19,'OJT IDs'!A:A,'OJT IDs'!N:N,"Not found")</f>
        <v>IHG8342629-OJT</v>
      </c>
      <c r="F19" s="9" t="str">
        <f>_xlfn.XLOOKUP(E19,'OJT Links'!E:E,'OJT Links'!H:H,"Not found")</f>
        <v>https://mylearning.sumtotal.host/core/pillarRedirect?relyingParty=LM&amp;url=app%2Fmanagement%2FLMS_ActDetails.aspx%3FActivityId%3D603028%26UserMode%3D0</v>
      </c>
    </row>
    <row r="20" spans="1:6" ht="115.2" x14ac:dyDescent="0.3">
      <c r="A20" s="11" t="s">
        <v>145</v>
      </c>
      <c r="B20" s="39" t="s">
        <v>69</v>
      </c>
      <c r="C20" s="42" t="s">
        <v>146</v>
      </c>
      <c r="D20" s="7" t="str">
        <f>_xlfn.XLOOKUP(A20,'All Courses'!A:A,'All Courses'!D:D,"Not found")</f>
        <v>Course</v>
      </c>
      <c r="E20" s="7" t="str">
        <f>_xlfn.XLOOKUP(A20,'OJT IDs'!A:A,'OJT IDs'!N:N,"Not found")</f>
        <v>IHG058786-OJT</v>
      </c>
      <c r="F20" s="9" t="str">
        <f>_xlfn.XLOOKUP(E20,'OJT Links'!E:E,'OJT Links'!H:H,"Not found")</f>
        <v>https://mylearning.sumtotal.host/core/pillarRedirect?relyingParty=LM&amp;url=app%2Fmanagement%2FLMS_ActDetails.aspx%3FActivityId%3D593207%26UserMode%3D0</v>
      </c>
    </row>
    <row r="21" spans="1:6" ht="115.2" x14ac:dyDescent="0.3">
      <c r="A21" s="92" t="s">
        <v>147</v>
      </c>
      <c r="B21" s="39" t="s">
        <v>69</v>
      </c>
      <c r="C21" s="42" t="s">
        <v>148</v>
      </c>
      <c r="D21" s="7" t="str">
        <f>_xlfn.XLOOKUP(A21,'All Courses'!A:A,'All Courses'!D:D,"Not found")</f>
        <v>course</v>
      </c>
      <c r="E21" s="7" t="str">
        <f>_xlfn.XLOOKUP(A21,'OJT IDs'!A:A,'OJT IDs'!N:N,"Not found")</f>
        <v>IHG058785-OJT</v>
      </c>
      <c r="F21" s="9" t="str">
        <f>_xlfn.XLOOKUP(E21,'OJT Links'!E:E,'OJT Links'!H:H,"Not found")</f>
        <v>https://mylearning.sumtotal.host/core/pillarRedirect?relyingParty=LM&amp;url=app%2Fmanagement%2FLMS_ActDetails.aspx%3FActivityId%3D593208%26UserMode%3D0</v>
      </c>
    </row>
    <row r="22" spans="1:6" ht="17.399999999999999" x14ac:dyDescent="0.3">
      <c r="A22" s="86"/>
      <c r="B22" s="44"/>
      <c r="C22" s="42"/>
      <c r="D22" s="7">
        <f>_xlfn.XLOOKUP(A22,'All Courses'!A:A,'All Courses'!D:D,"Not found")</f>
        <v>0</v>
      </c>
    </row>
    <row r="23" spans="1:6" ht="17.399999999999999" x14ac:dyDescent="0.3">
      <c r="C23" s="77"/>
      <c r="D23" s="7">
        <f>_xlfn.XLOOKUP(A23,'All Courses'!A:A,'All Courses'!D:D,"Not found")</f>
        <v>0</v>
      </c>
    </row>
    <row r="24" spans="1:6" ht="17.399999999999999" x14ac:dyDescent="0.3">
      <c r="D24" s="7">
        <f>_xlfn.XLOOKUP(A24,'All Courses'!A:A,'All Courses'!D:D,"Not found")</f>
        <v>0</v>
      </c>
    </row>
    <row r="25" spans="1:6" ht="17.399999999999999" x14ac:dyDescent="0.3">
      <c r="D25" s="7">
        <f>_xlfn.XLOOKUP(A25,'All Courses'!A:A,'All Courses'!D:D,"Not found")</f>
        <v>0</v>
      </c>
    </row>
    <row r="26" spans="1:6" ht="17.399999999999999" x14ac:dyDescent="0.3">
      <c r="D26" s="7">
        <f>_xlfn.XLOOKUP(A26,'All Courses'!A:A,'All Courses'!D:D,"Not found")</f>
        <v>0</v>
      </c>
    </row>
    <row r="27" spans="1:6" ht="17.399999999999999" x14ac:dyDescent="0.3">
      <c r="D27" s="7">
        <f>_xlfn.XLOOKUP(A27,'All Courses'!A:A,'All Courses'!D:D,"Not found")</f>
        <v>0</v>
      </c>
    </row>
    <row r="28" spans="1:6" ht="17.399999999999999" x14ac:dyDescent="0.3">
      <c r="D28" s="7">
        <f>_xlfn.XLOOKUP(A28,'All Courses'!A:A,'All Courses'!D:D,"Not found")</f>
        <v>0</v>
      </c>
    </row>
    <row r="29" spans="1:6" ht="17.399999999999999" x14ac:dyDescent="0.3">
      <c r="D29" s="7">
        <f>_xlfn.XLOOKUP(A29,'All Courses'!A:A,'All Courses'!D:D,"Not found")</f>
        <v>0</v>
      </c>
    </row>
    <row r="30" spans="1:6" ht="17.399999999999999" x14ac:dyDescent="0.3">
      <c r="D30" s="7">
        <f>_xlfn.XLOOKUP(A30,'All Courses'!A:A,'All Courses'!D:D,"Not found")</f>
        <v>0</v>
      </c>
    </row>
    <row r="31" spans="1:6" ht="17.399999999999999" x14ac:dyDescent="0.3">
      <c r="D31" s="7">
        <f>_xlfn.XLOOKUP(A31,'All Courses'!A:A,'All Courses'!D:D,"Not found")</f>
        <v>0</v>
      </c>
    </row>
    <row r="32" spans="1:6" ht="17.399999999999999" x14ac:dyDescent="0.3">
      <c r="D32" s="7">
        <f>_xlfn.XLOOKUP(A32,'All Courses'!A:A,'All Courses'!D:D,"Not found")</f>
        <v>0</v>
      </c>
    </row>
    <row r="33" spans="4:4" ht="17.399999999999999" x14ac:dyDescent="0.3">
      <c r="D33" s="7">
        <f>_xlfn.XLOOKUP(A33,'All Courses'!A:A,'All Courses'!D:D,"Not found")</f>
        <v>0</v>
      </c>
    </row>
    <row r="34" spans="4:4" ht="17.399999999999999" x14ac:dyDescent="0.3">
      <c r="D34" s="7">
        <f>_xlfn.XLOOKUP(A34,'All Courses'!A:A,'All Courses'!D:D,"Not found")</f>
        <v>0</v>
      </c>
    </row>
    <row r="35" spans="4:4" ht="17.399999999999999" x14ac:dyDescent="0.3">
      <c r="D35" s="7">
        <f>_xlfn.XLOOKUP(A35,'All Courses'!A:A,'All Courses'!D:D,"Not found")</f>
        <v>0</v>
      </c>
    </row>
    <row r="36" spans="4:4" ht="17.399999999999999" x14ac:dyDescent="0.3">
      <c r="D36" s="7">
        <f>_xlfn.XLOOKUP(A36,'All Courses'!A:A,'All Courses'!D:D,"Not found")</f>
        <v>0</v>
      </c>
    </row>
    <row r="37" spans="4:4" ht="17.399999999999999" x14ac:dyDescent="0.3">
      <c r="D37" s="7">
        <f>_xlfn.XLOOKUP(A37,'All Courses'!A:A,'All Courses'!D:D,"Not found")</f>
        <v>0</v>
      </c>
    </row>
    <row r="38" spans="4:4" ht="17.399999999999999" x14ac:dyDescent="0.3">
      <c r="D38" s="7">
        <f>_xlfn.XLOOKUP(A38,'All Courses'!A:A,'All Courses'!D:D,"Not found")</f>
        <v>0</v>
      </c>
    </row>
    <row r="39" spans="4:4" ht="17.399999999999999" x14ac:dyDescent="0.3">
      <c r="D39" s="7">
        <f>_xlfn.XLOOKUP(A39,'All Courses'!A:A,'All Courses'!D:D,"Not found")</f>
        <v>0</v>
      </c>
    </row>
    <row r="40" spans="4:4" x14ac:dyDescent="0.3">
      <c r="D40" s="81"/>
    </row>
    <row r="41" spans="4:4" x14ac:dyDescent="0.3">
      <c r="D41" s="85"/>
    </row>
  </sheetData>
  <autoFilter ref="A1:F3" xr:uid="{879CC6BF-DA14-4068-B0CE-7832347512F9}">
    <sortState xmlns:xlrd2="http://schemas.microsoft.com/office/spreadsheetml/2017/richdata2" ref="A2:F4">
      <sortCondition ref="A1:A4"/>
    </sortState>
  </autoFilter>
  <hyperlinks>
    <hyperlink ref="C2" r:id="rId1" xr:uid="{39523534-B286-44C9-9052-52A0CEE3470C}"/>
    <hyperlink ref="C5" r:id="rId2" xr:uid="{84B563E8-9F07-4E33-83DE-99647851B0EC}"/>
    <hyperlink ref="C4" r:id="rId3" xr:uid="{C72E6430-504C-4DC4-98EC-4DF2A96F6063}"/>
    <hyperlink ref="C10" r:id="rId4" xr:uid="{858E466F-D462-4CB0-8E06-7638975EB5A3}"/>
    <hyperlink ref="C11" r:id="rId5" xr:uid="{1056C6BA-FF55-4543-A5FC-BC693868680C}"/>
    <hyperlink ref="C9" r:id="rId6" xr:uid="{8FC502BC-6DC7-4A67-A30B-AAFFCD49008C}"/>
    <hyperlink ref="C12" r:id="rId7" xr:uid="{7E8AFE13-2185-4A88-BD37-AA3D520C6817}"/>
    <hyperlink ref="C13" r:id="rId8" xr:uid="{3F848D36-45C5-418A-9F45-74EBA53A4908}"/>
    <hyperlink ref="C14" r:id="rId9" display="Link" xr:uid="{800C8216-2C01-4877-96B7-06D0FE3B90EE}"/>
    <hyperlink ref="C15" r:id="rId10" xr:uid="{0F9B68AF-B8D1-446A-9243-2507640E2C81}"/>
    <hyperlink ref="C17" r:id="rId11" xr:uid="{0EB4F482-1C63-4418-8616-90E51078C4D3}"/>
    <hyperlink ref="C18" r:id="rId12" xr:uid="{937A1EBE-213A-465F-8C6E-9E91A62BC9C2}"/>
  </hyperlinks>
  <pageMargins left="0.7" right="0.7" top="0.75" bottom="0.75" header="0.3" footer="0.3"/>
  <pageSetup paperSize="17" orientation="portrait" r:id="rId1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B120-5571-4A3C-89DF-2B4A94D71A5D}">
  <dimension ref="A1:R67"/>
  <sheetViews>
    <sheetView topLeftCell="B64" workbookViewId="0">
      <selection activeCell="B1" sqref="A1:R67"/>
    </sheetView>
  </sheetViews>
  <sheetFormatPr defaultRowHeight="14.4" x14ac:dyDescent="0.3"/>
  <cols>
    <col min="1" max="1" width="64.44140625" bestFit="1" customWidth="1"/>
    <col min="10" max="10" width="13.33203125" bestFit="1" customWidth="1"/>
  </cols>
  <sheetData>
    <row r="1" spans="1:18" ht="92.4" thickBot="1" x14ac:dyDescent="0.35">
      <c r="A1" s="45"/>
      <c r="B1" s="46"/>
      <c r="C1" s="47"/>
      <c r="E1" s="46"/>
      <c r="F1" s="46"/>
      <c r="G1" s="46"/>
      <c r="H1" s="48"/>
      <c r="I1" s="32" t="s">
        <v>149</v>
      </c>
      <c r="J1" s="33"/>
      <c r="K1" s="33"/>
      <c r="L1" s="33"/>
      <c r="M1" s="34"/>
      <c r="N1" s="35" t="s">
        <v>150</v>
      </c>
      <c r="O1" s="36"/>
      <c r="P1" s="36"/>
      <c r="Q1" s="36"/>
      <c r="R1" s="37"/>
    </row>
    <row r="2" spans="1:18" ht="87" thickBot="1" x14ac:dyDescent="0.35">
      <c r="A2" s="41" t="s">
        <v>151</v>
      </c>
      <c r="B2" s="18" t="s">
        <v>152</v>
      </c>
      <c r="C2" s="31" t="s">
        <v>153</v>
      </c>
      <c r="D2" s="31" t="s">
        <v>154</v>
      </c>
      <c r="E2" s="17" t="s">
        <v>155</v>
      </c>
      <c r="F2" s="19" t="s">
        <v>156</v>
      </c>
      <c r="G2" s="20" t="s">
        <v>157</v>
      </c>
      <c r="H2" s="21" t="s">
        <v>158</v>
      </c>
      <c r="I2" s="22" t="s">
        <v>159</v>
      </c>
      <c r="J2" s="23" t="s">
        <v>160</v>
      </c>
      <c r="K2" s="23" t="s">
        <v>161</v>
      </c>
      <c r="L2" s="23" t="s">
        <v>162</v>
      </c>
      <c r="M2" s="24" t="s">
        <v>163</v>
      </c>
      <c r="N2" s="25" t="s">
        <v>159</v>
      </c>
      <c r="O2" s="26" t="s">
        <v>160</v>
      </c>
      <c r="P2" s="26" t="s">
        <v>161</v>
      </c>
      <c r="Q2" s="26" t="s">
        <v>162</v>
      </c>
      <c r="R2" s="27" t="s">
        <v>163</v>
      </c>
    </row>
    <row r="3" spans="1:18" ht="230.4" x14ac:dyDescent="0.3">
      <c r="A3" s="38" t="s">
        <v>93</v>
      </c>
      <c r="B3" s="15" t="s">
        <v>164</v>
      </c>
      <c r="C3" s="49" t="s">
        <v>94</v>
      </c>
      <c r="D3" t="s">
        <v>165</v>
      </c>
      <c r="E3" s="39" t="s">
        <v>76</v>
      </c>
      <c r="F3" s="15" t="s">
        <v>161</v>
      </c>
      <c r="G3" s="15"/>
      <c r="H3" s="15" t="s">
        <v>34</v>
      </c>
      <c r="I3" s="15" t="s">
        <v>166</v>
      </c>
      <c r="J3" s="15" t="s">
        <v>166</v>
      </c>
      <c r="K3" s="15" t="s">
        <v>166</v>
      </c>
      <c r="L3" s="15" t="s">
        <v>166</v>
      </c>
      <c r="M3" s="15" t="s">
        <v>166</v>
      </c>
      <c r="N3" s="15"/>
      <c r="O3" s="15"/>
      <c r="P3" s="15"/>
      <c r="Q3" s="15"/>
      <c r="R3" s="15"/>
    </row>
    <row r="4" spans="1:18" ht="230.4" x14ac:dyDescent="0.3">
      <c r="A4" s="38" t="s">
        <v>95</v>
      </c>
      <c r="B4" s="15" t="s">
        <v>164</v>
      </c>
      <c r="C4" s="49" t="s">
        <v>96</v>
      </c>
      <c r="D4" t="s">
        <v>165</v>
      </c>
      <c r="E4" s="39" t="s">
        <v>76</v>
      </c>
      <c r="F4" s="15" t="s">
        <v>161</v>
      </c>
      <c r="G4" s="15"/>
      <c r="H4" s="15" t="s">
        <v>34</v>
      </c>
      <c r="I4" s="15" t="s">
        <v>166</v>
      </c>
      <c r="J4" s="15" t="s">
        <v>166</v>
      </c>
      <c r="K4" s="15" t="s">
        <v>166</v>
      </c>
      <c r="L4" s="15" t="s">
        <v>166</v>
      </c>
      <c r="M4" s="15" t="s">
        <v>166</v>
      </c>
      <c r="N4" s="15"/>
      <c r="O4" s="15"/>
      <c r="P4" s="15"/>
      <c r="Q4" s="15"/>
      <c r="R4" s="15"/>
    </row>
    <row r="5" spans="1:18" ht="100.8" x14ac:dyDescent="0.3">
      <c r="A5" s="38" t="s">
        <v>90</v>
      </c>
      <c r="B5" s="15" t="s">
        <v>164</v>
      </c>
      <c r="C5" s="49" t="s">
        <v>92</v>
      </c>
      <c r="D5" t="s">
        <v>165</v>
      </c>
      <c r="E5" s="16" t="s">
        <v>91</v>
      </c>
      <c r="F5" s="15" t="s">
        <v>163</v>
      </c>
      <c r="G5" s="15"/>
      <c r="H5" s="15" t="s">
        <v>37</v>
      </c>
      <c r="I5" s="15" t="s">
        <v>167</v>
      </c>
      <c r="J5" s="15" t="s">
        <v>167</v>
      </c>
      <c r="K5" s="15" t="s">
        <v>167</v>
      </c>
      <c r="L5" s="15" t="s">
        <v>167</v>
      </c>
      <c r="M5" s="15" t="s">
        <v>167</v>
      </c>
      <c r="N5" s="15"/>
      <c r="O5" s="15"/>
      <c r="P5" s="15"/>
      <c r="Q5" s="15"/>
      <c r="R5" s="15"/>
    </row>
    <row r="6" spans="1:18" ht="201.6" x14ac:dyDescent="0.3">
      <c r="A6" s="38" t="s">
        <v>121</v>
      </c>
      <c r="B6" s="15" t="s">
        <v>164</v>
      </c>
      <c r="C6" s="49" t="s">
        <v>122</v>
      </c>
      <c r="D6" t="s">
        <v>165</v>
      </c>
      <c r="E6" s="39" t="s">
        <v>58</v>
      </c>
      <c r="F6" s="15" t="s">
        <v>161</v>
      </c>
      <c r="G6" s="15"/>
      <c r="H6" s="15" t="s">
        <v>7</v>
      </c>
      <c r="I6" s="15" t="s">
        <v>167</v>
      </c>
      <c r="J6" s="15" t="s">
        <v>167</v>
      </c>
      <c r="K6" s="15" t="s">
        <v>167</v>
      </c>
      <c r="L6" s="15" t="s">
        <v>167</v>
      </c>
      <c r="M6" s="15" t="s">
        <v>167</v>
      </c>
      <c r="N6" s="15"/>
      <c r="O6" s="15"/>
      <c r="P6" s="15"/>
      <c r="Q6" s="15"/>
      <c r="R6" s="15"/>
    </row>
    <row r="7" spans="1:18" ht="129.6" x14ac:dyDescent="0.3">
      <c r="A7" s="40" t="s">
        <v>56</v>
      </c>
      <c r="B7" s="15" t="s">
        <v>164</v>
      </c>
      <c r="C7" s="29"/>
      <c r="D7" t="s">
        <v>168</v>
      </c>
      <c r="E7" s="16" t="s">
        <v>57</v>
      </c>
      <c r="F7" s="15" t="s">
        <v>161</v>
      </c>
      <c r="G7" s="15"/>
      <c r="H7" s="15" t="s">
        <v>169</v>
      </c>
      <c r="I7" s="15" t="s">
        <v>166</v>
      </c>
      <c r="J7" s="15" t="s">
        <v>166</v>
      </c>
      <c r="K7" s="15" t="s">
        <v>166</v>
      </c>
      <c r="L7" s="15" t="s">
        <v>166</v>
      </c>
      <c r="M7" s="15" t="s">
        <v>166</v>
      </c>
      <c r="N7" s="15"/>
      <c r="O7" s="15"/>
      <c r="P7" s="15"/>
      <c r="Q7" s="15"/>
      <c r="R7" s="15"/>
    </row>
    <row r="8" spans="1:18" ht="129.6" x14ac:dyDescent="0.3">
      <c r="A8" s="38" t="s">
        <v>104</v>
      </c>
      <c r="B8" s="15" t="s">
        <v>170</v>
      </c>
      <c r="C8" s="49" t="s">
        <v>66</v>
      </c>
      <c r="D8" t="s">
        <v>77</v>
      </c>
      <c r="E8" s="39" t="s">
        <v>58</v>
      </c>
      <c r="F8" s="15" t="s">
        <v>161</v>
      </c>
      <c r="G8" s="15"/>
      <c r="H8" s="15" t="s">
        <v>171</v>
      </c>
      <c r="I8" s="15" t="s">
        <v>172</v>
      </c>
      <c r="J8" s="15" t="s">
        <v>173</v>
      </c>
      <c r="K8" s="28" t="s">
        <v>174</v>
      </c>
      <c r="L8" s="15" t="s">
        <v>167</v>
      </c>
      <c r="M8" s="15" t="s">
        <v>167</v>
      </c>
      <c r="N8" s="15"/>
      <c r="O8" s="15"/>
      <c r="P8" s="15"/>
      <c r="Q8" s="15"/>
      <c r="R8" s="15"/>
    </row>
    <row r="9" spans="1:18" ht="129.6" x14ac:dyDescent="0.3">
      <c r="A9" s="38" t="s">
        <v>105</v>
      </c>
      <c r="B9" s="15" t="s">
        <v>170</v>
      </c>
      <c r="C9" s="49" t="s">
        <v>66</v>
      </c>
      <c r="D9" t="s">
        <v>175</v>
      </c>
      <c r="E9" s="39" t="s">
        <v>58</v>
      </c>
      <c r="F9" s="15" t="s">
        <v>161</v>
      </c>
      <c r="G9" s="15" t="s">
        <v>176</v>
      </c>
      <c r="H9" s="15" t="s">
        <v>171</v>
      </c>
      <c r="I9" s="15" t="s">
        <v>173</v>
      </c>
      <c r="J9" s="15" t="s">
        <v>173</v>
      </c>
      <c r="K9" s="51" t="s">
        <v>177</v>
      </c>
      <c r="L9" s="15" t="s">
        <v>167</v>
      </c>
      <c r="M9" s="15" t="s">
        <v>167</v>
      </c>
      <c r="N9" s="15"/>
      <c r="O9" s="15"/>
      <c r="P9" s="15"/>
      <c r="Q9" s="15"/>
      <c r="R9" s="15"/>
    </row>
    <row r="10" spans="1:18" ht="129.6" x14ac:dyDescent="0.3">
      <c r="A10" s="38" t="s">
        <v>106</v>
      </c>
      <c r="B10" s="15" t="s">
        <v>170</v>
      </c>
      <c r="C10" s="49" t="s">
        <v>107</v>
      </c>
      <c r="D10" t="s">
        <v>165</v>
      </c>
      <c r="E10" s="39" t="s">
        <v>58</v>
      </c>
      <c r="F10" s="15" t="s">
        <v>161</v>
      </c>
      <c r="G10" s="15"/>
      <c r="H10" s="15" t="s">
        <v>171</v>
      </c>
      <c r="I10" s="15"/>
      <c r="J10" s="15"/>
      <c r="K10" s="15" t="s">
        <v>178</v>
      </c>
      <c r="L10" s="15"/>
      <c r="M10" s="15"/>
      <c r="N10" s="15"/>
      <c r="O10" s="15"/>
      <c r="P10" s="15"/>
      <c r="Q10" s="15"/>
      <c r="R10" s="15"/>
    </row>
    <row r="11" spans="1:18" ht="129.6" x14ac:dyDescent="0.3">
      <c r="A11" s="38" t="s">
        <v>577</v>
      </c>
      <c r="B11" s="15" t="s">
        <v>170</v>
      </c>
      <c r="C11" s="29"/>
      <c r="D11" t="s">
        <v>77</v>
      </c>
      <c r="E11" s="39" t="s">
        <v>58</v>
      </c>
      <c r="F11" s="15" t="s">
        <v>161</v>
      </c>
      <c r="G11" s="15"/>
      <c r="H11" s="15" t="s">
        <v>171</v>
      </c>
      <c r="I11" s="15"/>
      <c r="J11" s="15"/>
      <c r="K11" s="51" t="s">
        <v>179</v>
      </c>
      <c r="L11" s="15"/>
      <c r="M11" s="15"/>
      <c r="N11" s="15"/>
      <c r="O11" s="15"/>
      <c r="P11" s="15"/>
      <c r="Q11" s="15"/>
      <c r="R11" s="15"/>
    </row>
    <row r="12" spans="1:18" ht="259.2" x14ac:dyDescent="0.3">
      <c r="A12" s="50" t="s">
        <v>574</v>
      </c>
      <c r="B12" s="15" t="s">
        <v>170</v>
      </c>
      <c r="C12" s="52" t="s">
        <v>59</v>
      </c>
      <c r="D12" t="s">
        <v>77</v>
      </c>
      <c r="E12" s="39" t="s">
        <v>58</v>
      </c>
      <c r="F12" s="15" t="s">
        <v>161</v>
      </c>
      <c r="G12" s="15" t="s">
        <v>176</v>
      </c>
      <c r="H12" s="15" t="s">
        <v>180</v>
      </c>
      <c r="I12" s="15"/>
      <c r="J12" s="15"/>
      <c r="K12" s="51" t="s">
        <v>181</v>
      </c>
      <c r="L12" s="15"/>
      <c r="M12" s="15"/>
      <c r="N12" s="15"/>
      <c r="O12" s="15"/>
      <c r="P12" s="15"/>
      <c r="Q12" s="15"/>
      <c r="R12" s="15"/>
    </row>
    <row r="13" spans="1:18" ht="316.8" x14ac:dyDescent="0.3">
      <c r="A13" s="50" t="s">
        <v>124</v>
      </c>
      <c r="B13" s="15" t="s">
        <v>170</v>
      </c>
      <c r="C13" s="29"/>
      <c r="D13" t="s">
        <v>168</v>
      </c>
      <c r="E13" s="39" t="s">
        <v>69</v>
      </c>
      <c r="F13" s="15" t="s">
        <v>161</v>
      </c>
      <c r="G13" s="15" t="s">
        <v>176</v>
      </c>
      <c r="H13" s="15" t="s">
        <v>182</v>
      </c>
      <c r="I13" s="51"/>
      <c r="J13" s="15"/>
      <c r="K13" s="51" t="s">
        <v>183</v>
      </c>
      <c r="L13" s="15"/>
      <c r="M13" s="15"/>
      <c r="N13" s="15"/>
      <c r="O13" s="15"/>
      <c r="P13" s="15"/>
      <c r="Q13" s="15"/>
      <c r="R13" s="15"/>
    </row>
    <row r="14" spans="1:18" ht="230.4" x14ac:dyDescent="0.3">
      <c r="A14" s="38" t="s">
        <v>112</v>
      </c>
      <c r="B14" s="15" t="s">
        <v>164</v>
      </c>
      <c r="C14" s="49" t="s">
        <v>114</v>
      </c>
      <c r="D14" t="s">
        <v>165</v>
      </c>
      <c r="E14" s="16" t="s">
        <v>113</v>
      </c>
      <c r="F14" s="15" t="s">
        <v>161</v>
      </c>
      <c r="G14" s="15" t="s">
        <v>167</v>
      </c>
      <c r="H14" s="15" t="s">
        <v>184</v>
      </c>
      <c r="I14" s="15" t="s">
        <v>167</v>
      </c>
      <c r="J14" s="15" t="s">
        <v>167</v>
      </c>
      <c r="K14" s="15" t="s">
        <v>167</v>
      </c>
      <c r="L14" s="15" t="s">
        <v>167</v>
      </c>
      <c r="M14" s="15" t="s">
        <v>167</v>
      </c>
      <c r="N14" s="15"/>
      <c r="O14" s="15"/>
      <c r="P14" s="15"/>
      <c r="Q14" s="15"/>
      <c r="R14" s="15"/>
    </row>
    <row r="15" spans="1:18" ht="86.4" x14ac:dyDescent="0.3">
      <c r="A15" s="38" t="s">
        <v>60</v>
      </c>
      <c r="B15" s="15" t="s">
        <v>164</v>
      </c>
      <c r="C15" s="29"/>
      <c r="D15" t="s">
        <v>168</v>
      </c>
      <c r="E15" s="16" t="s">
        <v>61</v>
      </c>
      <c r="F15" s="15" t="s">
        <v>185</v>
      </c>
      <c r="G15" s="15" t="s">
        <v>167</v>
      </c>
      <c r="H15" s="15" t="s">
        <v>186</v>
      </c>
      <c r="I15" s="15" t="s">
        <v>167</v>
      </c>
      <c r="J15" s="15" t="s">
        <v>167</v>
      </c>
      <c r="K15" s="15" t="s">
        <v>167</v>
      </c>
      <c r="L15" s="15" t="s">
        <v>167</v>
      </c>
      <c r="M15" s="15" t="s">
        <v>167</v>
      </c>
      <c r="N15" s="15"/>
      <c r="O15" s="15"/>
      <c r="P15" s="15"/>
      <c r="Q15" s="15"/>
      <c r="R15" s="15"/>
    </row>
    <row r="16" spans="1:18" ht="230.4" x14ac:dyDescent="0.3">
      <c r="A16" s="38" t="s">
        <v>115</v>
      </c>
      <c r="B16" s="15" t="s">
        <v>164</v>
      </c>
      <c r="C16" s="49" t="s">
        <v>116</v>
      </c>
      <c r="D16" t="s">
        <v>165</v>
      </c>
      <c r="E16" s="39" t="s">
        <v>76</v>
      </c>
      <c r="F16" s="15" t="s">
        <v>161</v>
      </c>
      <c r="G16" s="15"/>
      <c r="H16" s="15" t="s">
        <v>184</v>
      </c>
      <c r="I16" s="15" t="s">
        <v>166</v>
      </c>
      <c r="J16" s="15" t="s">
        <v>166</v>
      </c>
      <c r="K16" s="15" t="s">
        <v>166</v>
      </c>
      <c r="L16" s="15" t="s">
        <v>166</v>
      </c>
      <c r="M16" s="15" t="s">
        <v>167</v>
      </c>
      <c r="N16" s="15"/>
      <c r="O16" s="15"/>
      <c r="P16" s="15"/>
      <c r="Q16" s="15"/>
      <c r="R16" s="15"/>
    </row>
    <row r="17" spans="1:18" ht="172.8" x14ac:dyDescent="0.3">
      <c r="A17" s="38" t="s">
        <v>117</v>
      </c>
      <c r="B17" s="15" t="s">
        <v>164</v>
      </c>
      <c r="C17" s="49" t="s">
        <v>118</v>
      </c>
      <c r="D17" t="s">
        <v>165</v>
      </c>
      <c r="E17" s="39" t="s">
        <v>58</v>
      </c>
      <c r="F17" s="15" t="s">
        <v>161</v>
      </c>
      <c r="G17" s="15"/>
      <c r="H17" s="15" t="s">
        <v>184</v>
      </c>
      <c r="I17" s="15" t="s">
        <v>166</v>
      </c>
      <c r="J17" s="15" t="s">
        <v>166</v>
      </c>
      <c r="K17" s="15" t="s">
        <v>166</v>
      </c>
      <c r="L17" s="15" t="s">
        <v>166</v>
      </c>
      <c r="M17" s="15" t="s">
        <v>166</v>
      </c>
      <c r="N17" s="15"/>
      <c r="O17" s="15"/>
      <c r="P17" s="15"/>
      <c r="Q17" s="15"/>
      <c r="R17" s="15"/>
    </row>
    <row r="18" spans="1:18" ht="230.4" x14ac:dyDescent="0.3">
      <c r="A18" s="38" t="s">
        <v>62</v>
      </c>
      <c r="B18" s="15" t="s">
        <v>170</v>
      </c>
      <c r="C18" s="49" t="s">
        <v>63</v>
      </c>
      <c r="D18" t="s">
        <v>165</v>
      </c>
      <c r="E18" s="39" t="s">
        <v>58</v>
      </c>
      <c r="F18" s="15" t="s">
        <v>159</v>
      </c>
      <c r="G18" s="15" t="s">
        <v>167</v>
      </c>
      <c r="H18" s="15" t="s">
        <v>186</v>
      </c>
      <c r="I18" s="15"/>
      <c r="J18" s="15" t="s">
        <v>187</v>
      </c>
      <c r="K18" s="15"/>
      <c r="L18" s="15" t="s">
        <v>188</v>
      </c>
      <c r="M18" s="51"/>
      <c r="N18" s="15"/>
      <c r="O18" s="15"/>
      <c r="P18" s="15"/>
      <c r="Q18" s="15"/>
      <c r="R18" s="15"/>
    </row>
    <row r="19" spans="1:18" ht="172.8" x14ac:dyDescent="0.3">
      <c r="A19" s="38" t="s">
        <v>64</v>
      </c>
      <c r="B19" s="15" t="s">
        <v>164</v>
      </c>
      <c r="C19" s="49" t="s">
        <v>66</v>
      </c>
      <c r="D19" t="s">
        <v>77</v>
      </c>
      <c r="E19" s="16" t="s">
        <v>65</v>
      </c>
      <c r="F19" s="15" t="s">
        <v>185</v>
      </c>
      <c r="G19" s="15"/>
      <c r="H19" s="15" t="s">
        <v>189</v>
      </c>
      <c r="I19" s="15" t="s">
        <v>167</v>
      </c>
      <c r="J19" s="15" t="s">
        <v>167</v>
      </c>
      <c r="K19" s="15" t="s">
        <v>167</v>
      </c>
      <c r="L19" s="15" t="s">
        <v>167</v>
      </c>
      <c r="M19" s="15" t="s">
        <v>167</v>
      </c>
      <c r="N19" s="15"/>
      <c r="O19" s="15"/>
      <c r="P19" s="15" t="s">
        <v>173</v>
      </c>
      <c r="Q19" s="15"/>
      <c r="R19" s="15"/>
    </row>
    <row r="20" spans="1:18" ht="129.6" x14ac:dyDescent="0.3">
      <c r="A20" s="38" t="s">
        <v>464</v>
      </c>
      <c r="B20" s="15" t="s">
        <v>170</v>
      </c>
      <c r="C20" s="49" t="s">
        <v>66</v>
      </c>
      <c r="D20" t="s">
        <v>77</v>
      </c>
      <c r="E20" s="39" t="s">
        <v>58</v>
      </c>
      <c r="F20" s="15" t="s">
        <v>161</v>
      </c>
      <c r="G20" s="15" t="s">
        <v>167</v>
      </c>
      <c r="H20" s="15" t="s">
        <v>190</v>
      </c>
      <c r="I20" s="53" t="s">
        <v>167</v>
      </c>
      <c r="J20" s="15"/>
      <c r="K20" s="53" t="s">
        <v>191</v>
      </c>
      <c r="L20" s="53" t="s">
        <v>167</v>
      </c>
      <c r="M20" s="53" t="s">
        <v>167</v>
      </c>
      <c r="N20" s="15"/>
      <c r="O20" s="15"/>
      <c r="P20" s="15"/>
      <c r="Q20" s="15"/>
      <c r="R20" s="15"/>
    </row>
    <row r="21" spans="1:18" ht="316.8" x14ac:dyDescent="0.3">
      <c r="A21" s="50" t="s">
        <v>467</v>
      </c>
      <c r="B21" s="15" t="s">
        <v>170</v>
      </c>
      <c r="C21" s="49" t="s">
        <v>66</v>
      </c>
      <c r="D21" t="s">
        <v>77</v>
      </c>
      <c r="E21" s="39" t="s">
        <v>69</v>
      </c>
      <c r="F21" s="15" t="s">
        <v>161</v>
      </c>
      <c r="G21" s="15" t="s">
        <v>176</v>
      </c>
      <c r="H21" s="15" t="s">
        <v>190</v>
      </c>
      <c r="I21" s="54" t="s">
        <v>167</v>
      </c>
      <c r="J21" s="15"/>
      <c r="K21" s="53" t="s">
        <v>192</v>
      </c>
      <c r="L21" s="54" t="s">
        <v>167</v>
      </c>
      <c r="M21" s="54" t="s">
        <v>167</v>
      </c>
      <c r="N21" s="15"/>
      <c r="O21" s="15"/>
      <c r="P21" s="15"/>
      <c r="Q21" s="15"/>
      <c r="R21" s="15"/>
    </row>
    <row r="22" spans="1:18" ht="129.6" x14ac:dyDescent="0.3">
      <c r="A22" s="50" t="s">
        <v>344</v>
      </c>
      <c r="B22" s="15" t="s">
        <v>170</v>
      </c>
      <c r="C22" s="49" t="s">
        <v>66</v>
      </c>
      <c r="D22" t="s">
        <v>77</v>
      </c>
      <c r="E22" s="39" t="s">
        <v>58</v>
      </c>
      <c r="F22" s="15" t="s">
        <v>161</v>
      </c>
      <c r="G22" s="15" t="s">
        <v>176</v>
      </c>
      <c r="H22" s="15" t="s">
        <v>190</v>
      </c>
      <c r="I22" s="53" t="s">
        <v>167</v>
      </c>
      <c r="J22" s="15"/>
      <c r="K22" s="53" t="s">
        <v>193</v>
      </c>
      <c r="L22" s="54" t="s">
        <v>167</v>
      </c>
      <c r="M22" s="54" t="s">
        <v>167</v>
      </c>
      <c r="N22" s="15"/>
      <c r="O22" s="15"/>
      <c r="P22" s="15"/>
      <c r="Q22" s="15"/>
      <c r="R22" s="15"/>
    </row>
    <row r="23" spans="1:18" ht="201.6" x14ac:dyDescent="0.3">
      <c r="A23" s="50" t="s">
        <v>67</v>
      </c>
      <c r="B23" s="15" t="s">
        <v>164</v>
      </c>
      <c r="C23" s="29"/>
      <c r="D23" t="s">
        <v>168</v>
      </c>
      <c r="E23" s="16" t="s">
        <v>68</v>
      </c>
      <c r="F23" s="15" t="s">
        <v>161</v>
      </c>
      <c r="G23" s="15" t="s">
        <v>176</v>
      </c>
      <c r="H23" s="15" t="s">
        <v>186</v>
      </c>
      <c r="I23" s="15" t="s">
        <v>166</v>
      </c>
      <c r="J23" s="15" t="s">
        <v>166</v>
      </c>
      <c r="K23" s="15" t="s">
        <v>166</v>
      </c>
      <c r="L23" s="15" t="s">
        <v>166</v>
      </c>
      <c r="M23" s="15" t="s">
        <v>166</v>
      </c>
      <c r="N23" s="15"/>
      <c r="O23" s="15"/>
      <c r="P23" s="15"/>
      <c r="Q23" s="15"/>
      <c r="R23" s="15"/>
    </row>
    <row r="24" spans="1:18" ht="316.8" x14ac:dyDescent="0.3">
      <c r="A24" s="38" t="s">
        <v>399</v>
      </c>
      <c r="B24" s="15" t="s">
        <v>170</v>
      </c>
      <c r="C24" s="29" t="s">
        <v>70</v>
      </c>
      <c r="D24" t="s">
        <v>77</v>
      </c>
      <c r="E24" s="39" t="s">
        <v>69</v>
      </c>
      <c r="F24" s="15" t="s">
        <v>159</v>
      </c>
      <c r="G24" s="15"/>
      <c r="H24" s="15" t="s">
        <v>194</v>
      </c>
      <c r="I24" s="51" t="s">
        <v>195</v>
      </c>
      <c r="J24" s="15"/>
      <c r="K24" s="15"/>
      <c r="L24" s="15"/>
      <c r="M24" s="15"/>
      <c r="N24" s="15"/>
      <c r="O24" s="15"/>
      <c r="P24" s="15"/>
      <c r="Q24" s="15"/>
      <c r="R24" s="15"/>
    </row>
    <row r="25" spans="1:18" ht="259.2" x14ac:dyDescent="0.3">
      <c r="A25" s="38" t="s">
        <v>71</v>
      </c>
      <c r="B25" s="15" t="s">
        <v>170</v>
      </c>
      <c r="C25" s="28" t="s">
        <v>72</v>
      </c>
      <c r="D25" t="s">
        <v>77</v>
      </c>
      <c r="E25" s="39" t="s">
        <v>58</v>
      </c>
      <c r="F25" s="15" t="s">
        <v>159</v>
      </c>
      <c r="G25" s="15"/>
      <c r="H25" s="15" t="s">
        <v>194</v>
      </c>
      <c r="I25" s="51" t="s">
        <v>196</v>
      </c>
      <c r="J25" s="15"/>
      <c r="K25" s="15"/>
      <c r="L25" s="51" t="s">
        <v>196</v>
      </c>
      <c r="M25" s="15"/>
      <c r="N25" s="15"/>
      <c r="O25" s="15"/>
      <c r="P25" s="15"/>
      <c r="Q25" s="15"/>
      <c r="R25" s="15"/>
    </row>
    <row r="26" spans="1:18" ht="316.8" x14ac:dyDescent="0.3">
      <c r="A26" s="38" t="s">
        <v>556</v>
      </c>
      <c r="B26" s="15" t="s">
        <v>170</v>
      </c>
      <c r="C26" s="49" t="s">
        <v>66</v>
      </c>
      <c r="D26" t="s">
        <v>77</v>
      </c>
      <c r="E26" s="39" t="s">
        <v>69</v>
      </c>
      <c r="F26" s="15" t="s">
        <v>185</v>
      </c>
      <c r="G26" s="15" t="s">
        <v>167</v>
      </c>
      <c r="H26" s="15" t="s">
        <v>189</v>
      </c>
      <c r="I26" s="15" t="s">
        <v>167</v>
      </c>
      <c r="J26" s="51" t="s">
        <v>197</v>
      </c>
      <c r="K26" s="15" t="s">
        <v>167</v>
      </c>
      <c r="L26" s="15" t="s">
        <v>167</v>
      </c>
      <c r="M26" s="15" t="s">
        <v>167</v>
      </c>
      <c r="N26" s="15"/>
      <c r="O26" s="55" t="s">
        <v>198</v>
      </c>
      <c r="P26" s="15"/>
      <c r="Q26" s="15"/>
      <c r="R26" s="15"/>
    </row>
    <row r="27" spans="1:18" ht="316.8" x14ac:dyDescent="0.3">
      <c r="A27" s="38" t="s">
        <v>73</v>
      </c>
      <c r="B27" s="15" t="s">
        <v>170</v>
      </c>
      <c r="C27" s="49" t="s">
        <v>66</v>
      </c>
      <c r="D27" t="s">
        <v>77</v>
      </c>
      <c r="E27" s="39" t="s">
        <v>69</v>
      </c>
      <c r="F27" s="15" t="s">
        <v>185</v>
      </c>
      <c r="G27" s="15" t="s">
        <v>167</v>
      </c>
      <c r="H27" s="15" t="s">
        <v>189</v>
      </c>
      <c r="I27" s="15" t="s">
        <v>167</v>
      </c>
      <c r="J27" s="51" t="s">
        <v>199</v>
      </c>
      <c r="K27" s="15" t="s">
        <v>167</v>
      </c>
      <c r="L27" s="15" t="s">
        <v>167</v>
      </c>
      <c r="M27" s="15" t="s">
        <v>167</v>
      </c>
      <c r="N27" s="15"/>
      <c r="O27" s="15"/>
      <c r="P27" s="15"/>
      <c r="Q27" s="15"/>
      <c r="R27" s="15"/>
    </row>
    <row r="28" spans="1:18" ht="316.8" x14ac:dyDescent="0.3">
      <c r="A28" s="50" t="s">
        <v>458</v>
      </c>
      <c r="B28" s="15" t="s">
        <v>170</v>
      </c>
      <c r="C28" s="49" t="s">
        <v>66</v>
      </c>
      <c r="D28" t="s">
        <v>77</v>
      </c>
      <c r="E28" s="39" t="s">
        <v>69</v>
      </c>
      <c r="F28" s="15" t="s">
        <v>185</v>
      </c>
      <c r="G28" s="15" t="s">
        <v>167</v>
      </c>
      <c r="H28" s="15" t="s">
        <v>180</v>
      </c>
      <c r="I28" s="15" t="s">
        <v>167</v>
      </c>
      <c r="J28" s="51" t="s">
        <v>200</v>
      </c>
      <c r="K28" s="51" t="s">
        <v>173</v>
      </c>
      <c r="L28" s="51" t="s">
        <v>173</v>
      </c>
      <c r="M28" s="51" t="s">
        <v>173</v>
      </c>
      <c r="N28" s="15"/>
      <c r="O28" s="15"/>
      <c r="P28" s="15"/>
      <c r="Q28" s="15"/>
      <c r="R28" s="15"/>
    </row>
    <row r="29" spans="1:18" ht="129.6" x14ac:dyDescent="0.3">
      <c r="A29" s="38" t="s">
        <v>74</v>
      </c>
      <c r="B29" s="15" t="s">
        <v>170</v>
      </c>
      <c r="C29" s="49" t="s">
        <v>66</v>
      </c>
      <c r="D29" t="s">
        <v>77</v>
      </c>
      <c r="E29" s="39" t="s">
        <v>58</v>
      </c>
      <c r="F29" s="15" t="s">
        <v>159</v>
      </c>
      <c r="G29" s="15" t="s">
        <v>167</v>
      </c>
      <c r="H29" s="15" t="s">
        <v>186</v>
      </c>
      <c r="I29" s="15" t="s">
        <v>167</v>
      </c>
      <c r="J29" s="51" t="s">
        <v>201</v>
      </c>
      <c r="K29" s="51" t="s">
        <v>173</v>
      </c>
      <c r="L29" s="51" t="s">
        <v>202</v>
      </c>
      <c r="M29" s="51" t="s">
        <v>173</v>
      </c>
      <c r="N29" s="15"/>
      <c r="O29" s="15"/>
      <c r="P29" s="15"/>
      <c r="Q29" s="15"/>
      <c r="R29" s="15"/>
    </row>
    <row r="30" spans="1:18" ht="316.8" x14ac:dyDescent="0.3">
      <c r="A30" s="38" t="s">
        <v>404</v>
      </c>
      <c r="B30" s="15" t="s">
        <v>170</v>
      </c>
      <c r="C30" s="49" t="s">
        <v>66</v>
      </c>
      <c r="D30" t="s">
        <v>77</v>
      </c>
      <c r="E30" s="39" t="s">
        <v>69</v>
      </c>
      <c r="F30" s="15" t="s">
        <v>159</v>
      </c>
      <c r="G30" s="15" t="s">
        <v>167</v>
      </c>
      <c r="H30" s="15" t="s">
        <v>186</v>
      </c>
      <c r="I30" s="15" t="s">
        <v>167</v>
      </c>
      <c r="J30" s="51" t="s">
        <v>203</v>
      </c>
      <c r="K30" s="56" t="s">
        <v>173</v>
      </c>
      <c r="L30" s="53" t="s">
        <v>204</v>
      </c>
      <c r="M30" s="51" t="s">
        <v>173</v>
      </c>
      <c r="N30" s="15"/>
      <c r="O30" s="15"/>
      <c r="P30" s="15"/>
      <c r="Q30" s="15"/>
      <c r="R30" s="15"/>
    </row>
    <row r="31" spans="1:18" ht="230.4" x14ac:dyDescent="0.3">
      <c r="A31" s="38" t="s">
        <v>75</v>
      </c>
      <c r="B31" s="15" t="s">
        <v>170</v>
      </c>
      <c r="C31" s="49" t="s">
        <v>66</v>
      </c>
      <c r="D31" t="s">
        <v>205</v>
      </c>
      <c r="E31" s="39" t="s">
        <v>76</v>
      </c>
      <c r="F31" s="15" t="s">
        <v>159</v>
      </c>
      <c r="G31" s="15" t="s">
        <v>167</v>
      </c>
      <c r="H31" s="16" t="s">
        <v>206</v>
      </c>
      <c r="I31" s="15" t="s">
        <v>167</v>
      </c>
      <c r="J31" s="51" t="s">
        <v>207</v>
      </c>
      <c r="K31" s="51" t="s">
        <v>173</v>
      </c>
      <c r="L31" s="51" t="s">
        <v>208</v>
      </c>
      <c r="M31" s="51" t="s">
        <v>173</v>
      </c>
      <c r="N31" s="15"/>
      <c r="O31" s="55" t="s">
        <v>209</v>
      </c>
      <c r="P31" s="15"/>
      <c r="Q31" s="55" t="s">
        <v>210</v>
      </c>
      <c r="R31" s="15"/>
    </row>
    <row r="32" spans="1:18" ht="316.8" x14ac:dyDescent="0.3">
      <c r="A32" s="57" t="s">
        <v>408</v>
      </c>
      <c r="B32" s="15" t="s">
        <v>170</v>
      </c>
      <c r="C32" s="49" t="s">
        <v>85</v>
      </c>
      <c r="D32" t="s">
        <v>77</v>
      </c>
      <c r="E32" s="39" t="s">
        <v>69</v>
      </c>
      <c r="F32" s="15" t="s">
        <v>185</v>
      </c>
      <c r="G32" s="15" t="s">
        <v>167</v>
      </c>
      <c r="H32" s="15" t="s">
        <v>180</v>
      </c>
      <c r="I32" s="15" t="s">
        <v>167</v>
      </c>
      <c r="J32" s="51" t="s">
        <v>173</v>
      </c>
      <c r="K32" s="51" t="s">
        <v>211</v>
      </c>
      <c r="L32" s="51"/>
      <c r="M32" s="51" t="s">
        <v>212</v>
      </c>
      <c r="N32" s="15"/>
      <c r="O32" s="15"/>
      <c r="P32" s="55" t="s">
        <v>213</v>
      </c>
      <c r="Q32" s="55" t="s">
        <v>214</v>
      </c>
      <c r="R32" s="55" t="s">
        <v>215</v>
      </c>
    </row>
    <row r="33" spans="1:18" ht="316.8" x14ac:dyDescent="0.3">
      <c r="A33" s="57" t="s">
        <v>470</v>
      </c>
      <c r="B33" s="15" t="s">
        <v>170</v>
      </c>
      <c r="C33" s="49" t="s">
        <v>66</v>
      </c>
      <c r="D33" t="s">
        <v>77</v>
      </c>
      <c r="E33" s="39" t="s">
        <v>69</v>
      </c>
      <c r="F33" s="15" t="s">
        <v>159</v>
      </c>
      <c r="G33" s="15" t="s">
        <v>167</v>
      </c>
      <c r="H33" s="15" t="s">
        <v>189</v>
      </c>
      <c r="I33" s="15" t="s">
        <v>167</v>
      </c>
      <c r="J33" s="51" t="s">
        <v>216</v>
      </c>
      <c r="K33" s="15"/>
      <c r="L33" s="51" t="s">
        <v>217</v>
      </c>
      <c r="M33" s="15"/>
      <c r="N33" s="15"/>
      <c r="O33" s="55" t="s">
        <v>218</v>
      </c>
      <c r="P33" s="11"/>
      <c r="Q33" s="55" t="s">
        <v>219</v>
      </c>
      <c r="R33" s="15"/>
    </row>
    <row r="34" spans="1:18" ht="172.8" x14ac:dyDescent="0.3">
      <c r="A34" s="57" t="s">
        <v>79</v>
      </c>
      <c r="B34" s="15" t="s">
        <v>164</v>
      </c>
      <c r="C34" s="29"/>
      <c r="D34" t="s">
        <v>168</v>
      </c>
      <c r="E34" s="16" t="s">
        <v>80</v>
      </c>
      <c r="F34" s="15" t="s">
        <v>161</v>
      </c>
      <c r="G34" s="15" t="s">
        <v>167</v>
      </c>
      <c r="H34" s="15" t="s">
        <v>180</v>
      </c>
      <c r="I34" s="15" t="s">
        <v>166</v>
      </c>
      <c r="J34" s="15" t="s">
        <v>166</v>
      </c>
      <c r="K34" s="15" t="s">
        <v>166</v>
      </c>
      <c r="L34" s="15" t="s">
        <v>166</v>
      </c>
      <c r="M34" s="15" t="s">
        <v>166</v>
      </c>
      <c r="N34" s="15"/>
      <c r="O34" s="15"/>
      <c r="P34" s="15"/>
      <c r="Q34" s="15"/>
      <c r="R34" s="15"/>
    </row>
    <row r="35" spans="1:18" ht="259.2" x14ac:dyDescent="0.3">
      <c r="A35" s="57" t="s">
        <v>127</v>
      </c>
      <c r="B35" s="15" t="s">
        <v>170</v>
      </c>
      <c r="C35" s="29" t="s">
        <v>128</v>
      </c>
      <c r="D35" t="s">
        <v>77</v>
      </c>
      <c r="E35" s="39" t="s">
        <v>58</v>
      </c>
      <c r="F35" s="15" t="s">
        <v>161</v>
      </c>
      <c r="G35" s="15"/>
      <c r="H35" s="15" t="s">
        <v>220</v>
      </c>
      <c r="I35" s="15"/>
      <c r="J35" s="51" t="s">
        <v>221</v>
      </c>
      <c r="K35" s="15"/>
      <c r="L35" s="15"/>
      <c r="M35" s="15"/>
      <c r="N35" s="15"/>
      <c r="O35" s="15"/>
      <c r="P35" s="15"/>
      <c r="Q35" s="15"/>
      <c r="R35" s="15"/>
    </row>
    <row r="36" spans="1:18" ht="259.2" x14ac:dyDescent="0.3">
      <c r="A36" s="40" t="s">
        <v>474</v>
      </c>
      <c r="B36" s="15" t="s">
        <v>170</v>
      </c>
      <c r="C36" s="59" t="s">
        <v>139</v>
      </c>
      <c r="D36" t="s">
        <v>77</v>
      </c>
      <c r="E36" s="39" t="s">
        <v>58</v>
      </c>
      <c r="F36" s="15" t="s">
        <v>161</v>
      </c>
      <c r="G36" s="15"/>
      <c r="H36" s="15" t="s">
        <v>222</v>
      </c>
      <c r="I36" s="15"/>
      <c r="J36" s="51" t="s">
        <v>223</v>
      </c>
      <c r="K36" s="15"/>
      <c r="L36" s="15"/>
      <c r="M36" s="15"/>
      <c r="N36" s="15"/>
      <c r="O36" s="15"/>
      <c r="P36" s="15"/>
      <c r="Q36" s="15"/>
      <c r="R36" s="15"/>
    </row>
    <row r="37" spans="1:18" ht="273.60000000000002" x14ac:dyDescent="0.3">
      <c r="A37" s="58" t="s">
        <v>544</v>
      </c>
      <c r="B37" s="15" t="s">
        <v>170</v>
      </c>
      <c r="C37" s="49" t="s">
        <v>140</v>
      </c>
      <c r="D37" t="s">
        <v>77</v>
      </c>
      <c r="E37" s="39" t="s">
        <v>58</v>
      </c>
      <c r="F37" s="15" t="s">
        <v>161</v>
      </c>
      <c r="G37" s="15"/>
      <c r="H37" s="15" t="s">
        <v>222</v>
      </c>
      <c r="I37" s="15"/>
      <c r="J37" s="51" t="s">
        <v>224</v>
      </c>
      <c r="K37" s="15"/>
      <c r="L37" s="15"/>
      <c r="M37" s="15"/>
      <c r="N37" s="15"/>
      <c r="O37" s="15"/>
      <c r="P37" s="15"/>
      <c r="Q37" s="15"/>
      <c r="R37" s="15"/>
    </row>
    <row r="38" spans="1:18" ht="316.8" x14ac:dyDescent="0.3">
      <c r="A38" s="57" t="s">
        <v>81</v>
      </c>
      <c r="B38" s="15" t="s">
        <v>170</v>
      </c>
      <c r="C38" s="49" t="s">
        <v>66</v>
      </c>
      <c r="D38" t="s">
        <v>77</v>
      </c>
      <c r="E38" s="39" t="s">
        <v>69</v>
      </c>
      <c r="F38" s="15" t="s">
        <v>159</v>
      </c>
      <c r="G38" s="15" t="s">
        <v>167</v>
      </c>
      <c r="H38" s="15" t="s">
        <v>189</v>
      </c>
      <c r="I38" s="15" t="s">
        <v>167</v>
      </c>
      <c r="J38" s="15" t="s">
        <v>225</v>
      </c>
      <c r="K38" s="15" t="s">
        <v>225</v>
      </c>
      <c r="L38" s="15" t="s">
        <v>226</v>
      </c>
      <c r="M38" s="15" t="s">
        <v>225</v>
      </c>
      <c r="N38" s="15"/>
      <c r="O38" s="11" t="s">
        <v>227</v>
      </c>
      <c r="P38" s="11"/>
      <c r="Q38" s="11" t="s">
        <v>228</v>
      </c>
      <c r="R38" s="15"/>
    </row>
    <row r="39" spans="1:18" ht="129.6" x14ac:dyDescent="0.3">
      <c r="A39" s="57" t="s">
        <v>82</v>
      </c>
      <c r="B39" s="15" t="s">
        <v>170</v>
      </c>
      <c r="C39" s="49" t="s">
        <v>66</v>
      </c>
      <c r="D39" t="s">
        <v>77</v>
      </c>
      <c r="E39" s="39" t="s">
        <v>58</v>
      </c>
      <c r="F39" s="15" t="s">
        <v>159</v>
      </c>
      <c r="G39" s="15" t="s">
        <v>167</v>
      </c>
      <c r="H39" s="15" t="s">
        <v>189</v>
      </c>
      <c r="I39" s="15" t="s">
        <v>167</v>
      </c>
      <c r="J39" s="15" t="s">
        <v>229</v>
      </c>
      <c r="K39" s="15" t="s">
        <v>229</v>
      </c>
      <c r="L39" s="29" t="s">
        <v>230</v>
      </c>
      <c r="M39" s="15" t="s">
        <v>229</v>
      </c>
      <c r="N39" s="15"/>
      <c r="O39" s="11" t="s">
        <v>231</v>
      </c>
      <c r="P39" s="15"/>
      <c r="Q39" s="42" t="s">
        <v>232</v>
      </c>
      <c r="R39" s="15"/>
    </row>
    <row r="40" spans="1:18" ht="100.8" x14ac:dyDescent="0.3">
      <c r="A40" s="57" t="s">
        <v>83</v>
      </c>
      <c r="B40" s="15" t="s">
        <v>164</v>
      </c>
      <c r="C40" s="29"/>
      <c r="D40" t="s">
        <v>168</v>
      </c>
      <c r="E40" s="39" t="s">
        <v>84</v>
      </c>
      <c r="F40" s="15" t="s">
        <v>159</v>
      </c>
      <c r="G40" s="15"/>
      <c r="H40" s="15" t="s">
        <v>180</v>
      </c>
      <c r="I40" s="15" t="s">
        <v>166</v>
      </c>
      <c r="J40" s="15" t="s">
        <v>166</v>
      </c>
      <c r="K40" s="15" t="s">
        <v>166</v>
      </c>
      <c r="L40" s="15" t="s">
        <v>166</v>
      </c>
      <c r="M40" s="15" t="s">
        <v>166</v>
      </c>
      <c r="N40" s="15"/>
      <c r="O40" s="15"/>
      <c r="P40" s="15"/>
      <c r="Q40" s="15"/>
      <c r="R40" s="15"/>
    </row>
    <row r="41" spans="1:18" ht="273.60000000000002" x14ac:dyDescent="0.3">
      <c r="A41" s="16" t="s">
        <v>538</v>
      </c>
      <c r="B41" s="15" t="s">
        <v>170</v>
      </c>
      <c r="C41" s="60" t="s">
        <v>126</v>
      </c>
      <c r="D41" t="s">
        <v>77</v>
      </c>
      <c r="E41" s="39" t="s">
        <v>58</v>
      </c>
      <c r="F41" s="15" t="s">
        <v>159</v>
      </c>
      <c r="G41" s="15"/>
      <c r="H41" s="15" t="s">
        <v>182</v>
      </c>
      <c r="I41" s="15"/>
      <c r="J41" s="51" t="s">
        <v>233</v>
      </c>
      <c r="K41" s="15"/>
      <c r="L41" s="51" t="s">
        <v>234</v>
      </c>
      <c r="M41" s="15"/>
      <c r="N41" s="15"/>
      <c r="O41" s="61" t="s">
        <v>235</v>
      </c>
      <c r="P41" s="11"/>
      <c r="Q41" s="55" t="s">
        <v>236</v>
      </c>
      <c r="R41" s="15"/>
    </row>
    <row r="42" spans="1:18" x14ac:dyDescent="0.3">
      <c r="A42" s="16" t="s">
        <v>237</v>
      </c>
      <c r="B42" s="15" t="s">
        <v>170</v>
      </c>
      <c r="C42" s="60"/>
      <c r="D42" t="s">
        <v>168</v>
      </c>
      <c r="E42" s="62" t="s">
        <v>238</v>
      </c>
      <c r="F42" s="15" t="s">
        <v>162</v>
      </c>
      <c r="G42" s="15"/>
      <c r="H42" s="15" t="s">
        <v>182</v>
      </c>
      <c r="I42" s="15"/>
      <c r="J42" s="51"/>
      <c r="K42" s="15"/>
      <c r="L42" s="51" t="s">
        <v>239</v>
      </c>
      <c r="M42" s="15"/>
      <c r="N42" s="15"/>
      <c r="O42" s="61"/>
      <c r="P42" s="11"/>
      <c r="Q42" s="55"/>
      <c r="R42" s="15"/>
    </row>
    <row r="43" spans="1:18" ht="273.60000000000002" x14ac:dyDescent="0.3">
      <c r="A43" s="16" t="s">
        <v>533</v>
      </c>
      <c r="B43" s="15" t="s">
        <v>170</v>
      </c>
      <c r="C43" s="60" t="s">
        <v>123</v>
      </c>
      <c r="D43" t="s">
        <v>77</v>
      </c>
      <c r="E43" s="39" t="s">
        <v>58</v>
      </c>
      <c r="F43" s="15" t="s">
        <v>159</v>
      </c>
      <c r="G43" s="15"/>
      <c r="H43" s="15" t="s">
        <v>240</v>
      </c>
      <c r="I43" s="15"/>
      <c r="J43" s="51" t="s">
        <v>241</v>
      </c>
      <c r="K43" s="15"/>
      <c r="L43" s="15" t="s">
        <v>242</v>
      </c>
      <c r="M43" s="15"/>
      <c r="N43" s="15"/>
      <c r="O43" s="11" t="s">
        <v>243</v>
      </c>
      <c r="P43" s="11"/>
      <c r="Q43" s="11" t="s">
        <v>244</v>
      </c>
      <c r="R43" s="15"/>
    </row>
    <row r="44" spans="1:18" x14ac:dyDescent="0.3">
      <c r="A44" s="16" t="s">
        <v>245</v>
      </c>
      <c r="B44" s="15" t="s">
        <v>170</v>
      </c>
      <c r="C44" s="60"/>
      <c r="D44" t="s">
        <v>168</v>
      </c>
      <c r="E44" s="62" t="s">
        <v>238</v>
      </c>
      <c r="F44" s="15" t="s">
        <v>162</v>
      </c>
      <c r="G44" s="15"/>
      <c r="H44" s="15" t="s">
        <v>240</v>
      </c>
      <c r="I44" s="15"/>
      <c r="J44" s="51"/>
      <c r="K44" s="15"/>
      <c r="L44" s="51" t="s">
        <v>246</v>
      </c>
      <c r="M44" s="15"/>
      <c r="N44" s="15"/>
      <c r="O44" s="15"/>
      <c r="P44" s="11"/>
      <c r="Q44" s="15"/>
      <c r="R44" s="15"/>
    </row>
    <row r="45" spans="1:18" ht="316.8" x14ac:dyDescent="0.3">
      <c r="A45" s="16" t="s">
        <v>578</v>
      </c>
      <c r="B45" s="15" t="s">
        <v>170</v>
      </c>
      <c r="C45" s="59" t="s">
        <v>129</v>
      </c>
      <c r="D45" t="s">
        <v>77</v>
      </c>
      <c r="E45" s="39" t="s">
        <v>69</v>
      </c>
      <c r="F45" s="15" t="s">
        <v>161</v>
      </c>
      <c r="G45" s="15"/>
      <c r="H45" s="15" t="s">
        <v>247</v>
      </c>
      <c r="I45" s="15"/>
      <c r="J45" s="51" t="s">
        <v>248</v>
      </c>
      <c r="K45" s="51"/>
      <c r="L45" s="15"/>
      <c r="M45" s="15"/>
      <c r="N45" s="15"/>
      <c r="O45" s="15"/>
      <c r="P45" s="55" t="s">
        <v>249</v>
      </c>
      <c r="Q45" s="15"/>
      <c r="R45" s="15"/>
    </row>
    <row r="46" spans="1:18" ht="316.8" x14ac:dyDescent="0.3">
      <c r="A46" s="15" t="s">
        <v>130</v>
      </c>
      <c r="B46" s="15" t="s">
        <v>170</v>
      </c>
      <c r="C46" s="29" t="s">
        <v>131</v>
      </c>
      <c r="D46" t="s">
        <v>77</v>
      </c>
      <c r="E46" s="39" t="s">
        <v>69</v>
      </c>
      <c r="F46" s="15" t="s">
        <v>185</v>
      </c>
      <c r="G46" s="15"/>
      <c r="H46" s="15" t="s">
        <v>220</v>
      </c>
      <c r="I46" s="15"/>
      <c r="J46" s="51" t="s">
        <v>250</v>
      </c>
      <c r="K46" s="15"/>
      <c r="L46" s="15"/>
      <c r="M46" s="15"/>
      <c r="N46" s="15"/>
      <c r="O46" s="15"/>
      <c r="P46" s="15"/>
      <c r="Q46" s="15"/>
      <c r="R46" s="15"/>
    </row>
    <row r="47" spans="1:18" ht="316.8" x14ac:dyDescent="0.3">
      <c r="A47" s="15" t="s">
        <v>145</v>
      </c>
      <c r="B47" s="15" t="s">
        <v>170</v>
      </c>
      <c r="C47" s="29" t="s">
        <v>146</v>
      </c>
      <c r="D47" t="s">
        <v>205</v>
      </c>
      <c r="E47" s="39" t="s">
        <v>69</v>
      </c>
      <c r="F47" s="15" t="s">
        <v>161</v>
      </c>
      <c r="G47" s="15"/>
      <c r="H47" s="15" t="s">
        <v>251</v>
      </c>
      <c r="I47" s="15"/>
      <c r="J47" s="51" t="s">
        <v>252</v>
      </c>
      <c r="K47" s="15"/>
      <c r="L47" s="15"/>
      <c r="M47" s="15"/>
      <c r="N47" s="15"/>
      <c r="O47" s="15"/>
      <c r="P47" s="15"/>
      <c r="Q47" s="15"/>
      <c r="R47" s="15"/>
    </row>
    <row r="48" spans="1:18" ht="316.8" x14ac:dyDescent="0.3">
      <c r="A48" s="54" t="s">
        <v>141</v>
      </c>
      <c r="B48" s="15" t="s">
        <v>170</v>
      </c>
      <c r="C48" s="29" t="s">
        <v>142</v>
      </c>
      <c r="D48" t="s">
        <v>205</v>
      </c>
      <c r="E48" s="39" t="s">
        <v>69</v>
      </c>
      <c r="F48" s="15" t="s">
        <v>159</v>
      </c>
      <c r="G48" s="15"/>
      <c r="H48" s="15" t="s">
        <v>222</v>
      </c>
      <c r="I48" s="51" t="s">
        <v>253</v>
      </c>
      <c r="J48" s="15"/>
      <c r="K48" s="15"/>
      <c r="L48" s="15"/>
      <c r="M48" s="15"/>
      <c r="N48" s="15"/>
      <c r="O48" s="15"/>
      <c r="P48" s="15"/>
      <c r="Q48" s="15"/>
      <c r="R48" s="15"/>
    </row>
    <row r="49" spans="1:18" ht="316.8" x14ac:dyDescent="0.3">
      <c r="A49" s="16" t="s">
        <v>137</v>
      </c>
      <c r="B49" s="15" t="s">
        <v>170</v>
      </c>
      <c r="C49" s="49" t="s">
        <v>138</v>
      </c>
      <c r="D49" t="s">
        <v>77</v>
      </c>
      <c r="E49" s="39" t="s">
        <v>69</v>
      </c>
      <c r="F49" s="15" t="s">
        <v>161</v>
      </c>
      <c r="G49" s="15"/>
      <c r="H49" s="15" t="s">
        <v>254</v>
      </c>
      <c r="I49" s="15"/>
      <c r="J49" s="51" t="s">
        <v>255</v>
      </c>
      <c r="K49" s="15"/>
      <c r="L49" s="15"/>
      <c r="M49" s="15"/>
      <c r="N49" s="15"/>
      <c r="O49" s="15"/>
      <c r="P49" s="15"/>
      <c r="Q49" s="15"/>
      <c r="R49" s="15"/>
    </row>
    <row r="50" spans="1:18" ht="316.8" x14ac:dyDescent="0.3">
      <c r="A50" s="16" t="s">
        <v>135</v>
      </c>
      <c r="B50" s="15" t="s">
        <v>170</v>
      </c>
      <c r="C50" s="59" t="s">
        <v>136</v>
      </c>
      <c r="D50" t="s">
        <v>77</v>
      </c>
      <c r="E50" s="39" t="s">
        <v>69</v>
      </c>
      <c r="F50" s="15" t="s">
        <v>161</v>
      </c>
      <c r="G50" s="15"/>
      <c r="H50" s="15" t="s">
        <v>256</v>
      </c>
      <c r="I50" s="15"/>
      <c r="J50" s="15"/>
      <c r="K50" s="51" t="s">
        <v>257</v>
      </c>
      <c r="L50" s="15"/>
      <c r="M50" s="15"/>
      <c r="N50" s="15"/>
      <c r="O50" s="15"/>
      <c r="P50" s="15"/>
      <c r="Q50" s="15"/>
      <c r="R50" s="15"/>
    </row>
    <row r="51" spans="1:18" ht="316.8" x14ac:dyDescent="0.3">
      <c r="A51" s="16" t="s">
        <v>119</v>
      </c>
      <c r="B51" s="15" t="s">
        <v>170</v>
      </c>
      <c r="C51" s="28" t="s">
        <v>120</v>
      </c>
      <c r="D51" t="s">
        <v>205</v>
      </c>
      <c r="E51" s="39" t="s">
        <v>69</v>
      </c>
      <c r="F51" s="15" t="s">
        <v>159</v>
      </c>
      <c r="G51" s="15"/>
      <c r="H51" s="15" t="s">
        <v>258</v>
      </c>
      <c r="I51" s="15"/>
      <c r="J51" s="51" t="s">
        <v>259</v>
      </c>
      <c r="K51" s="15"/>
      <c r="L51" s="63" t="s">
        <v>260</v>
      </c>
      <c r="M51" s="15"/>
      <c r="N51" s="15"/>
      <c r="O51" s="15"/>
      <c r="P51" s="15"/>
      <c r="Q51" s="15"/>
      <c r="R51" s="15"/>
    </row>
    <row r="52" spans="1:18" ht="316.8" x14ac:dyDescent="0.3">
      <c r="A52" s="16" t="s">
        <v>108</v>
      </c>
      <c r="B52" s="15" t="s">
        <v>170</v>
      </c>
      <c r="C52" s="49" t="s">
        <v>109</v>
      </c>
      <c r="D52" t="s">
        <v>77</v>
      </c>
      <c r="E52" s="39" t="s">
        <v>69</v>
      </c>
      <c r="F52" s="15" t="s">
        <v>159</v>
      </c>
      <c r="G52" s="15"/>
      <c r="H52" s="15" t="s">
        <v>261</v>
      </c>
      <c r="I52" s="15"/>
      <c r="J52" s="51" t="s">
        <v>262</v>
      </c>
      <c r="K52" s="15"/>
      <c r="L52" s="64" t="s">
        <v>263</v>
      </c>
      <c r="M52" s="15"/>
      <c r="N52" s="15"/>
      <c r="O52" s="15"/>
      <c r="P52" s="15"/>
      <c r="Q52" s="15"/>
      <c r="R52" s="15"/>
    </row>
    <row r="53" spans="1:18" ht="316.8" x14ac:dyDescent="0.3">
      <c r="A53" s="16" t="s">
        <v>110</v>
      </c>
      <c r="B53" s="15" t="s">
        <v>170</v>
      </c>
      <c r="C53" s="16" t="s">
        <v>111</v>
      </c>
      <c r="D53" t="s">
        <v>77</v>
      </c>
      <c r="E53" s="39" t="s">
        <v>69</v>
      </c>
      <c r="F53" s="15" t="s">
        <v>159</v>
      </c>
      <c r="G53" s="15"/>
      <c r="H53" s="15" t="s">
        <v>261</v>
      </c>
      <c r="I53" s="15"/>
      <c r="J53" s="51"/>
      <c r="K53" s="15" t="s">
        <v>264</v>
      </c>
      <c r="L53" s="64" t="s">
        <v>265</v>
      </c>
      <c r="M53" s="63" t="s">
        <v>266</v>
      </c>
      <c r="N53" s="15"/>
      <c r="O53" s="15"/>
      <c r="P53" s="15"/>
      <c r="Q53" s="15"/>
      <c r="R53" s="15"/>
    </row>
    <row r="54" spans="1:18" x14ac:dyDescent="0.3">
      <c r="A54" s="65" t="s">
        <v>267</v>
      </c>
      <c r="B54" s="30" t="s">
        <v>170</v>
      </c>
      <c r="C54" s="66"/>
      <c r="D54" t="s">
        <v>168</v>
      </c>
      <c r="E54" s="62" t="s">
        <v>238</v>
      </c>
      <c r="F54" s="30" t="s">
        <v>162</v>
      </c>
      <c r="G54" s="30"/>
      <c r="H54" s="30" t="s">
        <v>261</v>
      </c>
      <c r="I54" s="30"/>
      <c r="J54" s="67"/>
      <c r="K54" s="30"/>
      <c r="L54" s="68" t="s">
        <v>268</v>
      </c>
      <c r="M54" s="30"/>
      <c r="N54" s="15"/>
      <c r="O54" s="15"/>
      <c r="P54" s="15"/>
      <c r="Q54" s="15"/>
      <c r="R54" s="15"/>
    </row>
    <row r="55" spans="1:18" ht="316.8" x14ac:dyDescent="0.3">
      <c r="A55" s="16" t="s">
        <v>100</v>
      </c>
      <c r="B55" s="15" t="s">
        <v>170</v>
      </c>
      <c r="C55" s="29" t="s">
        <v>101</v>
      </c>
      <c r="D55" t="s">
        <v>77</v>
      </c>
      <c r="E55" s="39" t="s">
        <v>69</v>
      </c>
      <c r="F55" s="15" t="s">
        <v>159</v>
      </c>
      <c r="G55" s="15"/>
      <c r="H55" s="15" t="s">
        <v>28</v>
      </c>
      <c r="I55" s="63" t="s">
        <v>269</v>
      </c>
      <c r="J55" s="63" t="s">
        <v>269</v>
      </c>
      <c r="K55" s="15"/>
      <c r="L55" s="64" t="s">
        <v>269</v>
      </c>
      <c r="M55" s="15"/>
      <c r="N55" s="15"/>
      <c r="O55" s="15"/>
      <c r="P55" s="15"/>
      <c r="Q55" s="15"/>
      <c r="R55" s="15"/>
    </row>
    <row r="56" spans="1:18" ht="316.8" x14ac:dyDescent="0.3">
      <c r="A56" s="16" t="s">
        <v>102</v>
      </c>
      <c r="B56" s="15" t="s">
        <v>170</v>
      </c>
      <c r="C56" s="69" t="s">
        <v>103</v>
      </c>
      <c r="D56" t="s">
        <v>77</v>
      </c>
      <c r="E56" s="39" t="s">
        <v>69</v>
      </c>
      <c r="F56" s="15" t="s">
        <v>159</v>
      </c>
      <c r="G56" s="15"/>
      <c r="H56" s="15" t="s">
        <v>28</v>
      </c>
      <c r="I56" s="64" t="s">
        <v>270</v>
      </c>
      <c r="J56" s="64" t="s">
        <v>270</v>
      </c>
      <c r="K56" s="15"/>
      <c r="L56" s="64" t="s">
        <v>270</v>
      </c>
      <c r="M56" s="15"/>
      <c r="N56" s="15"/>
      <c r="O56" s="15"/>
      <c r="P56" s="15"/>
      <c r="Q56" s="15"/>
      <c r="R56" s="15"/>
    </row>
    <row r="57" spans="1:18" ht="316.8" x14ac:dyDescent="0.3">
      <c r="A57" s="16" t="s">
        <v>97</v>
      </c>
      <c r="B57" s="15" t="s">
        <v>170</v>
      </c>
      <c r="C57" s="49" t="s">
        <v>99</v>
      </c>
      <c r="D57" t="s">
        <v>77</v>
      </c>
      <c r="E57" s="39" t="s">
        <v>69</v>
      </c>
      <c r="F57" s="15" t="s">
        <v>159</v>
      </c>
      <c r="G57" s="15"/>
      <c r="H57" s="15" t="s">
        <v>271</v>
      </c>
      <c r="I57" s="51" t="s">
        <v>272</v>
      </c>
      <c r="J57" s="51" t="s">
        <v>272</v>
      </c>
      <c r="K57" s="15"/>
      <c r="L57" s="51" t="s">
        <v>273</v>
      </c>
      <c r="M57" s="15"/>
      <c r="N57" s="15"/>
      <c r="O57" s="15"/>
      <c r="P57" s="15"/>
      <c r="Q57" s="15"/>
      <c r="R57" s="15"/>
    </row>
    <row r="58" spans="1:18" ht="201.6" x14ac:dyDescent="0.3">
      <c r="A58" s="16" t="s">
        <v>88</v>
      </c>
      <c r="B58" s="15" t="s">
        <v>170</v>
      </c>
      <c r="C58" s="29"/>
      <c r="D58" t="s">
        <v>168</v>
      </c>
      <c r="E58" s="16" t="s">
        <v>89</v>
      </c>
      <c r="F58" s="15" t="s">
        <v>161</v>
      </c>
      <c r="G58" s="15"/>
      <c r="H58" s="15" t="s">
        <v>274</v>
      </c>
      <c r="I58" s="15"/>
      <c r="J58" s="15"/>
      <c r="K58" s="51" t="s">
        <v>275</v>
      </c>
      <c r="L58" s="15"/>
      <c r="M58" s="15"/>
      <c r="N58" s="15"/>
      <c r="O58" s="15"/>
      <c r="P58" s="15"/>
      <c r="Q58" s="15"/>
      <c r="R58" s="15"/>
    </row>
    <row r="59" spans="1:18" ht="316.8" x14ac:dyDescent="0.3">
      <c r="A59" s="16" t="s">
        <v>98</v>
      </c>
      <c r="B59" s="15" t="s">
        <v>170</v>
      </c>
      <c r="C59" s="49" t="s">
        <v>276</v>
      </c>
      <c r="D59" t="s">
        <v>77</v>
      </c>
      <c r="E59" s="39" t="s">
        <v>69</v>
      </c>
      <c r="F59" s="15" t="s">
        <v>159</v>
      </c>
      <c r="G59" s="15"/>
      <c r="H59" s="15" t="s">
        <v>271</v>
      </c>
      <c r="I59" s="15"/>
      <c r="J59" s="64" t="s">
        <v>277</v>
      </c>
      <c r="K59" s="15"/>
      <c r="L59" s="64" t="s">
        <v>278</v>
      </c>
      <c r="M59" s="15"/>
      <c r="N59" s="15"/>
      <c r="O59" s="15"/>
      <c r="P59" s="15"/>
      <c r="Q59" s="15"/>
      <c r="R59" s="15"/>
    </row>
    <row r="60" spans="1:18" ht="316.8" x14ac:dyDescent="0.3">
      <c r="A60" s="70" t="s">
        <v>86</v>
      </c>
      <c r="B60" s="15" t="s">
        <v>170</v>
      </c>
      <c r="C60" s="29"/>
      <c r="D60" t="s">
        <v>87</v>
      </c>
      <c r="E60" s="39" t="s">
        <v>69</v>
      </c>
      <c r="F60" s="15" t="s">
        <v>159</v>
      </c>
      <c r="G60" s="15"/>
      <c r="H60" s="15" t="s">
        <v>279</v>
      </c>
      <c r="I60" s="15"/>
      <c r="J60" s="15" t="s">
        <v>280</v>
      </c>
      <c r="K60" s="15"/>
      <c r="L60" s="15" t="s">
        <v>281</v>
      </c>
      <c r="M60" s="15"/>
      <c r="N60" s="15"/>
      <c r="O60" s="15"/>
      <c r="P60" s="15"/>
      <c r="Q60" s="15"/>
      <c r="R60" s="15"/>
    </row>
    <row r="61" spans="1:18" ht="316.8" x14ac:dyDescent="0.3">
      <c r="A61" s="71" t="s">
        <v>132</v>
      </c>
      <c r="B61" s="15" t="s">
        <v>170</v>
      </c>
      <c r="C61" s="52" t="s">
        <v>133</v>
      </c>
      <c r="D61" t="s">
        <v>77</v>
      </c>
      <c r="E61" s="39" t="s">
        <v>69</v>
      </c>
      <c r="F61" s="15" t="s">
        <v>161</v>
      </c>
      <c r="G61" s="15"/>
      <c r="H61" s="15" t="s">
        <v>220</v>
      </c>
      <c r="I61" s="15"/>
      <c r="J61" s="15" t="s">
        <v>282</v>
      </c>
      <c r="K61" s="15"/>
      <c r="L61" s="15"/>
      <c r="M61" s="15"/>
      <c r="N61" s="15"/>
      <c r="O61" s="15"/>
      <c r="P61" s="15"/>
      <c r="Q61" s="15"/>
      <c r="R61" s="15"/>
    </row>
    <row r="62" spans="1:18" ht="316.8" x14ac:dyDescent="0.3">
      <c r="A62" s="72" t="s">
        <v>440</v>
      </c>
      <c r="B62" s="15" t="s">
        <v>170</v>
      </c>
      <c r="C62" s="29" t="s">
        <v>134</v>
      </c>
      <c r="D62" t="s">
        <v>77</v>
      </c>
      <c r="E62" s="39" t="s">
        <v>69</v>
      </c>
      <c r="F62" s="15" t="s">
        <v>159</v>
      </c>
      <c r="G62" s="15"/>
      <c r="H62" s="15" t="s">
        <v>220</v>
      </c>
      <c r="I62" s="15"/>
      <c r="J62" s="15" t="s">
        <v>283</v>
      </c>
      <c r="K62" s="15"/>
      <c r="L62" s="15"/>
      <c r="M62" s="15"/>
      <c r="N62" s="15"/>
      <c r="O62" s="15"/>
      <c r="P62" s="15"/>
      <c r="Q62" s="15"/>
      <c r="R62" s="15"/>
    </row>
    <row r="63" spans="1:18" ht="316.8" x14ac:dyDescent="0.3">
      <c r="A63" s="73" t="s">
        <v>147</v>
      </c>
      <c r="B63" s="15" t="s">
        <v>170</v>
      </c>
      <c r="C63" s="29" t="s">
        <v>148</v>
      </c>
      <c r="D63" t="s">
        <v>77</v>
      </c>
      <c r="E63" s="39" t="s">
        <v>69</v>
      </c>
      <c r="F63" s="15" t="s">
        <v>185</v>
      </c>
      <c r="G63" s="15"/>
      <c r="H63" s="15" t="s">
        <v>284</v>
      </c>
      <c r="I63" s="15"/>
      <c r="J63" s="15" t="s">
        <v>285</v>
      </c>
      <c r="K63" s="15"/>
      <c r="L63" s="15"/>
      <c r="M63" s="15"/>
      <c r="N63" s="15"/>
      <c r="O63" s="15"/>
      <c r="P63" s="15"/>
      <c r="Q63" s="15"/>
      <c r="R63" s="15"/>
    </row>
    <row r="64" spans="1:18" ht="316.8" x14ac:dyDescent="0.3">
      <c r="A64" s="74" t="s">
        <v>143</v>
      </c>
      <c r="B64" s="15" t="s">
        <v>170</v>
      </c>
      <c r="C64" s="52" t="s">
        <v>144</v>
      </c>
      <c r="D64" t="s">
        <v>77</v>
      </c>
      <c r="E64" s="39" t="s">
        <v>69</v>
      </c>
      <c r="F64" s="15" t="s">
        <v>159</v>
      </c>
      <c r="G64" s="15"/>
      <c r="H64" s="15" t="s">
        <v>286</v>
      </c>
      <c r="I64" s="15"/>
      <c r="J64" s="15" t="s">
        <v>287</v>
      </c>
      <c r="K64" s="15"/>
      <c r="L64" s="15"/>
      <c r="M64" s="15"/>
      <c r="N64" s="15"/>
      <c r="O64" s="15"/>
      <c r="P64" s="15"/>
      <c r="Q64" s="15"/>
      <c r="R64" s="15"/>
    </row>
    <row r="65" spans="1:18" x14ac:dyDescent="0.3">
      <c r="A65" s="10" t="s">
        <v>288</v>
      </c>
      <c r="B65" s="43" t="s">
        <v>164</v>
      </c>
      <c r="C65" s="29"/>
      <c r="D65" t="s">
        <v>168</v>
      </c>
      <c r="E65" s="16"/>
      <c r="F65" s="15" t="s">
        <v>159</v>
      </c>
      <c r="G65" s="15"/>
      <c r="H65" s="11" t="s">
        <v>43</v>
      </c>
      <c r="I65" s="15"/>
      <c r="J65" s="15"/>
      <c r="K65" s="15"/>
      <c r="L65" s="15"/>
      <c r="M65" s="15"/>
      <c r="N65" s="15"/>
      <c r="O65" s="15"/>
      <c r="P65" s="15"/>
      <c r="Q65" s="15"/>
      <c r="R65" s="15"/>
    </row>
    <row r="66" spans="1:18" x14ac:dyDescent="0.3">
      <c r="A66" s="10" t="s">
        <v>289</v>
      </c>
      <c r="B66" s="10" t="s">
        <v>164</v>
      </c>
      <c r="C66" s="29"/>
      <c r="D66" t="s">
        <v>168</v>
      </c>
      <c r="E66" s="16"/>
      <c r="F66" s="15" t="s">
        <v>159</v>
      </c>
      <c r="G66" s="15"/>
      <c r="H66" s="11" t="s">
        <v>43</v>
      </c>
      <c r="I66" s="15"/>
      <c r="J66" s="15"/>
      <c r="K66" s="15"/>
      <c r="L66" s="15"/>
      <c r="M66" s="15"/>
      <c r="N66" s="15"/>
      <c r="O66" s="15"/>
      <c r="P66" s="15"/>
      <c r="Q66" s="15"/>
      <c r="R66" s="15"/>
    </row>
    <row r="67" spans="1:18" x14ac:dyDescent="0.3">
      <c r="A67" s="10" t="s">
        <v>290</v>
      </c>
      <c r="B67" s="43" t="s">
        <v>164</v>
      </c>
      <c r="C67" s="29"/>
      <c r="D67" t="s">
        <v>168</v>
      </c>
      <c r="E67" s="16"/>
      <c r="F67" s="15" t="s">
        <v>159</v>
      </c>
      <c r="G67" s="15"/>
      <c r="H67" s="11" t="s">
        <v>291</v>
      </c>
      <c r="I67" s="15"/>
      <c r="J67" s="15"/>
      <c r="K67" s="15"/>
      <c r="L67" s="15"/>
      <c r="M67" s="15"/>
      <c r="N67" s="15"/>
      <c r="O67" s="15"/>
      <c r="P67" s="15"/>
      <c r="Q67" s="15"/>
      <c r="R67" s="15"/>
    </row>
  </sheetData>
  <dataValidations count="2">
    <dataValidation type="list" allowBlank="1" showInputMessage="1" showErrorMessage="1" sqref="B3:B64" xr:uid="{376B3729-0B3B-457B-B5AC-10F9BAA79C35}">
      <formula1>$AK$6:$AK$7</formula1>
    </dataValidation>
    <dataValidation type="list" allowBlank="1" showInputMessage="1" showErrorMessage="1" sqref="F3:F67" xr:uid="{DEC5ED7F-3B09-4408-BEAC-4333CD90452F}">
      <formula1>#REF!</formula1>
    </dataValidation>
  </dataValidations>
  <hyperlinks>
    <hyperlink ref="C27" r:id="rId1" xr:uid="{75B3A741-82B7-4C18-A522-4B31B71E4439}"/>
    <hyperlink ref="C28" r:id="rId2" xr:uid="{55522C01-9D1E-47A7-9A55-DC113A6E4F9D}"/>
    <hyperlink ref="C26" r:id="rId3" xr:uid="{9640546C-3BF8-4D06-97A7-07B592775BCB}"/>
    <hyperlink ref="C20" r:id="rId4" xr:uid="{0536F059-C186-407E-BDCC-A0A38CF014E2}"/>
    <hyperlink ref="C21" r:id="rId5" xr:uid="{97654EB2-3864-4D00-95B1-F6BBF0AB6CD8}"/>
    <hyperlink ref="C22" r:id="rId6" xr:uid="{6D85CDBA-A32B-4064-A797-0ED0CF4FFF87}"/>
    <hyperlink ref="C31" r:id="rId7" xr:uid="{B1ACBC66-3D55-4E01-B6C7-EAD35F9D3481}"/>
    <hyperlink ref="C32" r:id="rId8" display="Link" xr:uid="{AF5F7DDA-4CA1-4ACC-9989-0B46078DE969}"/>
    <hyperlink ref="C33" r:id="rId9" xr:uid="{0B1349D9-9D3D-49C9-AFFD-60A177E857A7}"/>
    <hyperlink ref="C29" r:id="rId10" xr:uid="{C7A028BB-0AEE-438C-B63E-8FCB02279876}"/>
    <hyperlink ref="C30" r:id="rId11" xr:uid="{2673013D-D833-478E-BEAB-06BC680B1BE7}"/>
    <hyperlink ref="C8" r:id="rId12" xr:uid="{097E7271-5526-4887-BAA7-CA282C974993}"/>
    <hyperlink ref="C9" r:id="rId13" xr:uid="{2A62E3C8-4A0D-4EEC-ADF0-491A388016FD}"/>
    <hyperlink ref="C38" r:id="rId14" xr:uid="{C5979A1C-19BB-4FA3-96F9-C859AB8324AE}"/>
    <hyperlink ref="C39" r:id="rId15" xr:uid="{300B981C-FB24-4507-B5FE-F6BA058FB4A2}"/>
    <hyperlink ref="C3" r:id="rId16" xr:uid="{488BE4D5-91A9-4201-82C0-E15C94EE893D}"/>
    <hyperlink ref="C4" r:id="rId17" xr:uid="{5CF49C4C-CDB3-4E57-B817-AA31DBDCBB43}"/>
    <hyperlink ref="C6" r:id="rId18" xr:uid="{6AA4E220-9620-4FB6-919D-CCE327DC732E}"/>
    <hyperlink ref="C5" r:id="rId19" xr:uid="{D4737315-7F2E-4775-A4E0-5AE033CA5ECB}"/>
    <hyperlink ref="C16" r:id="rId20" location="j0000000KUiS/a/5b000000JrFs/d0iIg1kpRmAdH7X6Ov_FZxzM5gwfTCAgfmF416jsxPg" display="https://ihgolm.my.salesforce.com/sfc/p/#j0000000KUiS/a/5b000000JrFs/d0iIg1kpRmAdH7X6Ov_FZxzM5gwfTCAgfmF416jsxPg" xr:uid="{500954ED-94C8-4E85-9682-E1572EAAEF04}"/>
    <hyperlink ref="C19" r:id="rId21" xr:uid="{DDD01960-DC49-4D0F-97F4-7F62234749D1}"/>
    <hyperlink ref="C10" r:id="rId22" xr:uid="{F7DC52E2-B3C1-4837-AC37-A690EC44626F}"/>
    <hyperlink ref="C18" r:id="rId23" xr:uid="{F6212186-D193-4B50-B528-C89B772C7FC0}"/>
    <hyperlink ref="C14" r:id="rId24" xr:uid="{5B1283C9-5260-4CBD-B53E-D97DA235D6AA}"/>
    <hyperlink ref="C17" r:id="rId25" xr:uid="{A281F174-E25E-432D-9AE4-2B00591E05CA}"/>
    <hyperlink ref="C12" r:id="rId26" xr:uid="{04A3C6D1-2EDD-4B90-89DC-FD2BCB08B0B0}"/>
    <hyperlink ref="C45" r:id="rId27" xr:uid="{F975A16B-C195-4087-B6D5-5281C9D6CDB3}"/>
    <hyperlink ref="C61" r:id="rId28" xr:uid="{B403F167-18F2-44D8-9776-F26599B83B6C}"/>
    <hyperlink ref="C36" r:id="rId29" xr:uid="{6387D281-EFA4-4ADB-99E1-3F0B96A76A99}"/>
    <hyperlink ref="C37" r:id="rId30" xr:uid="{09AA76CB-2F00-4AD6-AEB4-26C32773A3D7}"/>
    <hyperlink ref="C64" r:id="rId31" xr:uid="{5E88D620-C0FB-4915-A7A5-2F01659A58D2}"/>
    <hyperlink ref="C57" r:id="rId32" xr:uid="{EEBE1444-9171-4EED-8208-34537FC731C1}"/>
    <hyperlink ref="C59" r:id="rId33" xr:uid="{C6216459-A638-4EC7-B33C-382E182D16C1}"/>
    <hyperlink ref="C56" r:id="rId34" xr:uid="{0F3AD2C7-8E67-46A6-8842-F61F1887027D}"/>
    <hyperlink ref="C52" r:id="rId35" xr:uid="{E4AE20F2-0EE0-49E9-B417-295821790893}"/>
    <hyperlink ref="C49" r:id="rId36" xr:uid="{7A8927BF-C5F4-4323-A976-106F959166CF}"/>
    <hyperlink ref="C50" r:id="rId37" xr:uid="{EF2167D6-DCE5-4879-8452-8B22E4A4C66A}"/>
  </hyperlinks>
  <pageMargins left="0.7" right="0.7" top="0.75" bottom="0.75" header="0.3" footer="0.3"/>
  <legacyDrawing r:id="rId3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429AA-B4A8-494A-93CF-39117DBE9072}">
  <dimension ref="A1:P114"/>
  <sheetViews>
    <sheetView topLeftCell="B67" workbookViewId="0">
      <selection activeCell="B1" sqref="A1:P68"/>
    </sheetView>
  </sheetViews>
  <sheetFormatPr defaultRowHeight="14.4" x14ac:dyDescent="0.3"/>
  <cols>
    <col min="1" max="1" width="44.5546875" bestFit="1" customWidth="1"/>
    <col min="13" max="13" width="15.6640625" bestFit="1" customWidth="1"/>
    <col min="14" max="14" width="20.88671875" bestFit="1" customWidth="1"/>
    <col min="15" max="15" width="18.109375" bestFit="1" customWidth="1"/>
    <col min="16" max="16" width="14.6640625" bestFit="1" customWidth="1"/>
  </cols>
  <sheetData>
    <row r="1" spans="1:16" x14ac:dyDescent="0.3">
      <c r="A1" s="93"/>
      <c r="B1" s="15"/>
      <c r="C1" s="16"/>
      <c r="D1" s="15"/>
      <c r="E1" s="15"/>
      <c r="F1" s="15"/>
      <c r="G1" s="148" t="s">
        <v>292</v>
      </c>
      <c r="H1" s="148"/>
      <c r="I1" s="148"/>
      <c r="J1" s="148"/>
      <c r="K1" s="148"/>
      <c r="L1" s="149" t="s">
        <v>293</v>
      </c>
      <c r="M1" s="149"/>
      <c r="N1" s="149"/>
      <c r="O1" s="149"/>
      <c r="P1" s="149"/>
    </row>
    <row r="2" spans="1:16" ht="57.6" x14ac:dyDescent="0.3">
      <c r="A2" s="94" t="s">
        <v>151</v>
      </c>
      <c r="B2" s="95" t="s">
        <v>152</v>
      </c>
      <c r="C2" s="94" t="s">
        <v>294</v>
      </c>
      <c r="D2" s="95" t="s">
        <v>156</v>
      </c>
      <c r="E2" s="94" t="s">
        <v>157</v>
      </c>
      <c r="F2" s="95" t="s">
        <v>158</v>
      </c>
      <c r="G2" s="95" t="s">
        <v>159</v>
      </c>
      <c r="H2" s="95" t="s">
        <v>160</v>
      </c>
      <c r="I2" s="95" t="s">
        <v>161</v>
      </c>
      <c r="J2" s="95" t="s">
        <v>162</v>
      </c>
      <c r="K2" s="95" t="s">
        <v>163</v>
      </c>
      <c r="L2" s="96" t="s">
        <v>159</v>
      </c>
      <c r="M2" s="96" t="s">
        <v>160</v>
      </c>
      <c r="N2" s="96" t="s">
        <v>161</v>
      </c>
      <c r="O2" s="96" t="s">
        <v>162</v>
      </c>
      <c r="P2" s="96" t="s">
        <v>163</v>
      </c>
    </row>
    <row r="3" spans="1:16" ht="86.4" x14ac:dyDescent="0.3">
      <c r="A3" s="97" t="s">
        <v>93</v>
      </c>
      <c r="B3" s="11" t="s">
        <v>164</v>
      </c>
      <c r="C3" s="10" t="s">
        <v>295</v>
      </c>
      <c r="D3" s="11" t="s">
        <v>161</v>
      </c>
      <c r="E3" s="11"/>
      <c r="F3" s="11" t="s">
        <v>34</v>
      </c>
      <c r="G3" s="98" t="s">
        <v>166</v>
      </c>
      <c r="H3" s="98" t="s">
        <v>166</v>
      </c>
      <c r="I3" s="98" t="s">
        <v>166</v>
      </c>
      <c r="J3" s="98" t="s">
        <v>166</v>
      </c>
      <c r="K3" s="98" t="s">
        <v>166</v>
      </c>
      <c r="L3" s="99"/>
      <c r="M3" s="100"/>
      <c r="N3" s="99" t="s">
        <v>296</v>
      </c>
      <c r="O3" s="99"/>
      <c r="P3" s="99"/>
    </row>
    <row r="4" spans="1:16" ht="86.4" x14ac:dyDescent="0.3">
      <c r="A4" s="97" t="s">
        <v>95</v>
      </c>
      <c r="B4" s="11" t="s">
        <v>164</v>
      </c>
      <c r="C4" s="10" t="s">
        <v>297</v>
      </c>
      <c r="D4" s="11" t="s">
        <v>161</v>
      </c>
      <c r="E4" s="11"/>
      <c r="F4" s="11" t="s">
        <v>34</v>
      </c>
      <c r="G4" s="98" t="s">
        <v>166</v>
      </c>
      <c r="H4" s="98" t="s">
        <v>166</v>
      </c>
      <c r="I4" s="98" t="s">
        <v>166</v>
      </c>
      <c r="J4" s="98" t="s">
        <v>166</v>
      </c>
      <c r="K4" s="98" t="s">
        <v>166</v>
      </c>
      <c r="L4" s="99"/>
      <c r="M4" s="99"/>
      <c r="N4" s="99" t="s">
        <v>298</v>
      </c>
      <c r="O4" s="99"/>
      <c r="P4" s="99"/>
    </row>
    <row r="5" spans="1:16" ht="57.6" x14ac:dyDescent="0.3">
      <c r="A5" s="10" t="s">
        <v>137</v>
      </c>
      <c r="B5" s="11" t="s">
        <v>170</v>
      </c>
      <c r="C5" s="43" t="s">
        <v>299</v>
      </c>
      <c r="D5" s="11" t="s">
        <v>161</v>
      </c>
      <c r="E5" s="11"/>
      <c r="F5" s="11" t="s">
        <v>254</v>
      </c>
      <c r="G5" s="98"/>
      <c r="H5" s="101" t="s">
        <v>255</v>
      </c>
      <c r="I5" s="98"/>
      <c r="J5" s="98"/>
      <c r="K5" s="98"/>
      <c r="L5" s="99"/>
      <c r="M5" s="99" t="s">
        <v>300</v>
      </c>
      <c r="N5" s="99" t="s">
        <v>300</v>
      </c>
      <c r="O5" s="99"/>
      <c r="P5" s="99" t="s">
        <v>300</v>
      </c>
    </row>
    <row r="6" spans="1:16" ht="57.6" x14ac:dyDescent="0.3">
      <c r="A6" s="10" t="s">
        <v>578</v>
      </c>
      <c r="B6" s="11" t="s">
        <v>170</v>
      </c>
      <c r="C6" s="43" t="s">
        <v>299</v>
      </c>
      <c r="D6" s="11" t="s">
        <v>161</v>
      </c>
      <c r="E6" s="11"/>
      <c r="F6" s="11" t="s">
        <v>247</v>
      </c>
      <c r="G6" s="98"/>
      <c r="H6" s="101" t="s">
        <v>248</v>
      </c>
      <c r="I6" s="101"/>
      <c r="J6" s="98"/>
      <c r="K6" s="98"/>
      <c r="L6" s="99"/>
      <c r="M6" s="102" t="s">
        <v>249</v>
      </c>
      <c r="N6" s="102" t="s">
        <v>249</v>
      </c>
      <c r="O6" s="99"/>
      <c r="P6" s="102" t="s">
        <v>249</v>
      </c>
    </row>
    <row r="7" spans="1:16" ht="57.6" x14ac:dyDescent="0.3">
      <c r="A7" s="11" t="s">
        <v>130</v>
      </c>
      <c r="B7" s="11" t="s">
        <v>170</v>
      </c>
      <c r="C7" s="43" t="s">
        <v>299</v>
      </c>
      <c r="D7" s="11" t="s">
        <v>185</v>
      </c>
      <c r="E7" s="11"/>
      <c r="F7" s="11" t="s">
        <v>220</v>
      </c>
      <c r="G7" s="98"/>
      <c r="H7" s="101" t="s">
        <v>250</v>
      </c>
      <c r="I7" s="98"/>
      <c r="J7" s="98"/>
      <c r="K7" s="98"/>
      <c r="L7" s="99"/>
      <c r="M7" s="99" t="s">
        <v>301</v>
      </c>
      <c r="N7" s="99" t="s">
        <v>301</v>
      </c>
      <c r="O7" s="99"/>
      <c r="P7" s="99" t="s">
        <v>301</v>
      </c>
    </row>
    <row r="8" spans="1:16" ht="57.6" x14ac:dyDescent="0.3">
      <c r="A8" s="88" t="s">
        <v>132</v>
      </c>
      <c r="B8" s="11" t="s">
        <v>170</v>
      </c>
      <c r="C8" s="43" t="s">
        <v>299</v>
      </c>
      <c r="D8" s="11" t="s">
        <v>161</v>
      </c>
      <c r="E8" s="11"/>
      <c r="F8" s="11" t="s">
        <v>220</v>
      </c>
      <c r="G8" s="98"/>
      <c r="H8" s="98" t="s">
        <v>282</v>
      </c>
      <c r="I8" s="98"/>
      <c r="J8" s="98"/>
      <c r="K8" s="98"/>
      <c r="L8" s="99"/>
      <c r="M8" s="99" t="s">
        <v>302</v>
      </c>
      <c r="N8" s="99" t="s">
        <v>302</v>
      </c>
      <c r="O8" s="99"/>
      <c r="P8" s="99" t="s">
        <v>302</v>
      </c>
    </row>
    <row r="9" spans="1:16" ht="57.6" x14ac:dyDescent="0.3">
      <c r="A9" s="89" t="s">
        <v>440</v>
      </c>
      <c r="B9" s="11" t="s">
        <v>170</v>
      </c>
      <c r="C9" s="43" t="s">
        <v>299</v>
      </c>
      <c r="D9" s="11" t="s">
        <v>159</v>
      </c>
      <c r="E9" s="11"/>
      <c r="F9" s="11" t="s">
        <v>220</v>
      </c>
      <c r="G9" s="98"/>
      <c r="H9" s="98" t="s">
        <v>283</v>
      </c>
      <c r="I9" s="98"/>
      <c r="J9" s="98"/>
      <c r="K9" s="98"/>
      <c r="L9" s="99"/>
      <c r="M9" s="99" t="s">
        <v>303</v>
      </c>
      <c r="N9" s="99" t="s">
        <v>303</v>
      </c>
      <c r="O9" s="99"/>
      <c r="P9" s="99" t="s">
        <v>303</v>
      </c>
    </row>
    <row r="10" spans="1:16" ht="129.6" x14ac:dyDescent="0.3">
      <c r="A10" s="97" t="s">
        <v>90</v>
      </c>
      <c r="B10" s="11" t="s">
        <v>164</v>
      </c>
      <c r="C10" s="10" t="s">
        <v>304</v>
      </c>
      <c r="D10" s="11" t="s">
        <v>163</v>
      </c>
      <c r="E10" s="11"/>
      <c r="F10" s="11" t="s">
        <v>37</v>
      </c>
      <c r="G10" s="98" t="s">
        <v>167</v>
      </c>
      <c r="H10" s="98" t="s">
        <v>167</v>
      </c>
      <c r="I10" s="98" t="s">
        <v>167</v>
      </c>
      <c r="J10" s="98" t="s">
        <v>167</v>
      </c>
      <c r="K10" s="98" t="s">
        <v>167</v>
      </c>
      <c r="L10" s="99"/>
      <c r="M10" s="99"/>
      <c r="N10" s="99"/>
      <c r="O10" s="99"/>
      <c r="P10" s="99" t="s">
        <v>305</v>
      </c>
    </row>
    <row r="11" spans="1:16" ht="187.2" x14ac:dyDescent="0.3">
      <c r="A11" s="97" t="s">
        <v>121</v>
      </c>
      <c r="B11" s="11" t="s">
        <v>164</v>
      </c>
      <c r="C11" s="10" t="s">
        <v>306</v>
      </c>
      <c r="D11" s="11" t="s">
        <v>161</v>
      </c>
      <c r="E11" s="11"/>
      <c r="F11" s="11" t="s">
        <v>7</v>
      </c>
      <c r="G11" s="98" t="s">
        <v>167</v>
      </c>
      <c r="H11" s="98" t="s">
        <v>167</v>
      </c>
      <c r="I11" s="98" t="s">
        <v>167</v>
      </c>
      <c r="J11" s="98" t="s">
        <v>167</v>
      </c>
      <c r="K11" s="98" t="s">
        <v>167</v>
      </c>
      <c r="L11" s="99"/>
      <c r="M11" s="99"/>
      <c r="N11" s="99" t="s">
        <v>307</v>
      </c>
      <c r="O11" s="99"/>
      <c r="P11" s="99"/>
    </row>
    <row r="12" spans="1:16" ht="259.2" x14ac:dyDescent="0.3">
      <c r="A12" s="103" t="s">
        <v>56</v>
      </c>
      <c r="B12" s="11" t="s">
        <v>164</v>
      </c>
      <c r="C12" s="10" t="s">
        <v>308</v>
      </c>
      <c r="D12" s="11" t="s">
        <v>161</v>
      </c>
      <c r="E12" s="11"/>
      <c r="F12" s="11" t="s">
        <v>169</v>
      </c>
      <c r="G12" s="98" t="s">
        <v>166</v>
      </c>
      <c r="H12" s="98" t="s">
        <v>166</v>
      </c>
      <c r="I12" s="98" t="s">
        <v>166</v>
      </c>
      <c r="J12" s="98" t="s">
        <v>166</v>
      </c>
      <c r="K12" s="98" t="s">
        <v>166</v>
      </c>
      <c r="L12" s="99"/>
      <c r="M12" s="99"/>
      <c r="N12" s="99" t="s">
        <v>309</v>
      </c>
      <c r="O12" s="99"/>
      <c r="P12" s="99"/>
    </row>
    <row r="13" spans="1:16" ht="57.6" x14ac:dyDescent="0.3">
      <c r="A13" s="11" t="s">
        <v>145</v>
      </c>
      <c r="B13" s="11" t="s">
        <v>170</v>
      </c>
      <c r="C13" s="43" t="s">
        <v>299</v>
      </c>
      <c r="D13" s="11" t="s">
        <v>161</v>
      </c>
      <c r="E13" s="11"/>
      <c r="F13" s="11" t="s">
        <v>251</v>
      </c>
      <c r="G13" s="98"/>
      <c r="H13" s="101" t="s">
        <v>252</v>
      </c>
      <c r="I13" s="98"/>
      <c r="J13" s="98"/>
      <c r="K13" s="98"/>
      <c r="L13" s="99"/>
      <c r="M13" s="99" t="s">
        <v>310</v>
      </c>
      <c r="N13" s="99" t="s">
        <v>310</v>
      </c>
      <c r="O13" s="99"/>
      <c r="P13" s="99" t="s">
        <v>310</v>
      </c>
    </row>
    <row r="14" spans="1:16" ht="57.6" x14ac:dyDescent="0.3">
      <c r="A14" s="92" t="s">
        <v>147</v>
      </c>
      <c r="B14" s="11" t="s">
        <v>170</v>
      </c>
      <c r="C14" s="43" t="s">
        <v>299</v>
      </c>
      <c r="D14" s="11" t="s">
        <v>185</v>
      </c>
      <c r="E14" s="11"/>
      <c r="F14" s="11" t="s">
        <v>284</v>
      </c>
      <c r="G14" s="98"/>
      <c r="H14" s="98" t="s">
        <v>285</v>
      </c>
      <c r="I14" s="98"/>
      <c r="J14" s="98"/>
      <c r="K14" s="98"/>
      <c r="L14" s="99"/>
      <c r="M14" s="99" t="s">
        <v>311</v>
      </c>
      <c r="N14" s="99" t="s">
        <v>311</v>
      </c>
      <c r="O14" s="99"/>
      <c r="P14" s="99" t="s">
        <v>311</v>
      </c>
    </row>
    <row r="15" spans="1:16" ht="57.6" x14ac:dyDescent="0.3">
      <c r="A15" s="10" t="s">
        <v>110</v>
      </c>
      <c r="B15" s="11" t="s">
        <v>170</v>
      </c>
      <c r="C15" s="43" t="s">
        <v>299</v>
      </c>
      <c r="D15" s="11" t="s">
        <v>159</v>
      </c>
      <c r="E15" s="11"/>
      <c r="F15" s="11" t="s">
        <v>261</v>
      </c>
      <c r="G15" s="98"/>
      <c r="H15" s="101"/>
      <c r="I15" s="98" t="s">
        <v>264</v>
      </c>
      <c r="J15" s="104" t="s">
        <v>265</v>
      </c>
      <c r="K15" s="105" t="s">
        <v>266</v>
      </c>
      <c r="L15" s="99"/>
      <c r="M15" s="99"/>
      <c r="N15" s="99" t="s">
        <v>312</v>
      </c>
      <c r="O15" s="99" t="s">
        <v>313</v>
      </c>
      <c r="P15" s="99" t="s">
        <v>314</v>
      </c>
    </row>
    <row r="16" spans="1:16" ht="57.6" x14ac:dyDescent="0.3">
      <c r="A16" s="10" t="s">
        <v>108</v>
      </c>
      <c r="B16" s="11" t="s">
        <v>170</v>
      </c>
      <c r="C16" s="43" t="s">
        <v>299</v>
      </c>
      <c r="D16" s="11" t="s">
        <v>159</v>
      </c>
      <c r="E16" s="11"/>
      <c r="F16" s="11" t="s">
        <v>261</v>
      </c>
      <c r="G16" s="98"/>
      <c r="H16" s="101" t="s">
        <v>262</v>
      </c>
      <c r="I16" s="98"/>
      <c r="J16" s="104" t="s">
        <v>263</v>
      </c>
      <c r="K16" s="98"/>
      <c r="L16" s="99"/>
      <c r="M16" s="99" t="s">
        <v>315</v>
      </c>
      <c r="N16" s="99" t="s">
        <v>315</v>
      </c>
      <c r="O16" s="99" t="s">
        <v>316</v>
      </c>
      <c r="P16" s="99" t="s">
        <v>315</v>
      </c>
    </row>
    <row r="17" spans="1:16" ht="57.6" x14ac:dyDescent="0.3">
      <c r="A17" s="106" t="s">
        <v>267</v>
      </c>
      <c r="B17" s="107" t="s">
        <v>170</v>
      </c>
      <c r="C17" s="43" t="s">
        <v>299</v>
      </c>
      <c r="D17" s="107" t="s">
        <v>162</v>
      </c>
      <c r="E17" s="107"/>
      <c r="F17" s="107" t="s">
        <v>261</v>
      </c>
      <c r="G17" s="108"/>
      <c r="H17" s="109"/>
      <c r="I17" s="108"/>
      <c r="J17" s="110" t="s">
        <v>268</v>
      </c>
      <c r="K17" s="108"/>
      <c r="L17" s="99"/>
      <c r="M17" s="99"/>
      <c r="N17" s="99"/>
      <c r="O17" s="99" t="s">
        <v>317</v>
      </c>
      <c r="P17" s="99"/>
    </row>
    <row r="18" spans="1:16" ht="100.8" x14ac:dyDescent="0.3">
      <c r="A18" s="38" t="s">
        <v>104</v>
      </c>
      <c r="B18" s="11" t="s">
        <v>170</v>
      </c>
      <c r="C18" s="10" t="s">
        <v>299</v>
      </c>
      <c r="D18" s="11" t="s">
        <v>161</v>
      </c>
      <c r="E18" s="11"/>
      <c r="F18" s="11" t="s">
        <v>171</v>
      </c>
      <c r="G18" s="98" t="s">
        <v>172</v>
      </c>
      <c r="H18" s="98" t="s">
        <v>173</v>
      </c>
      <c r="I18" s="111" t="s">
        <v>174</v>
      </c>
      <c r="J18" s="98" t="s">
        <v>167</v>
      </c>
      <c r="K18" s="98" t="s">
        <v>167</v>
      </c>
      <c r="L18" s="99"/>
      <c r="M18" s="99"/>
      <c r="N18" s="112" t="s">
        <v>318</v>
      </c>
      <c r="O18" s="99"/>
      <c r="P18" s="99"/>
    </row>
    <row r="19" spans="1:16" ht="57.6" x14ac:dyDescent="0.3">
      <c r="A19" s="38" t="s">
        <v>105</v>
      </c>
      <c r="B19" s="11" t="s">
        <v>170</v>
      </c>
      <c r="C19" s="43" t="s">
        <v>299</v>
      </c>
      <c r="D19" s="11" t="s">
        <v>161</v>
      </c>
      <c r="E19" s="11" t="s">
        <v>176</v>
      </c>
      <c r="F19" s="11" t="s">
        <v>171</v>
      </c>
      <c r="G19" s="98" t="s">
        <v>173</v>
      </c>
      <c r="H19" s="98" t="s">
        <v>173</v>
      </c>
      <c r="I19" s="101" t="s">
        <v>177</v>
      </c>
      <c r="J19" s="98" t="s">
        <v>167</v>
      </c>
      <c r="K19" s="98" t="s">
        <v>167</v>
      </c>
      <c r="L19" s="99"/>
      <c r="M19" s="99"/>
      <c r="N19" s="99" t="s">
        <v>319</v>
      </c>
      <c r="O19" s="99"/>
      <c r="P19" s="99"/>
    </row>
    <row r="20" spans="1:16" ht="57.6" x14ac:dyDescent="0.3">
      <c r="A20" s="38" t="s">
        <v>106</v>
      </c>
      <c r="B20" s="11" t="s">
        <v>170</v>
      </c>
      <c r="C20" s="43" t="s">
        <v>299</v>
      </c>
      <c r="D20" s="11" t="s">
        <v>161</v>
      </c>
      <c r="E20" s="11"/>
      <c r="F20" s="11" t="s">
        <v>171</v>
      </c>
      <c r="G20" s="98"/>
      <c r="H20" s="98"/>
      <c r="I20" s="98" t="s">
        <v>178</v>
      </c>
      <c r="J20" s="98"/>
      <c r="K20" s="98"/>
      <c r="L20" s="99"/>
      <c r="M20" s="99"/>
      <c r="N20" s="99" t="s">
        <v>320</v>
      </c>
      <c r="O20" s="99"/>
      <c r="P20" s="99"/>
    </row>
    <row r="21" spans="1:16" ht="57.6" x14ac:dyDescent="0.3">
      <c r="A21" s="38" t="s">
        <v>577</v>
      </c>
      <c r="B21" s="11" t="s">
        <v>170</v>
      </c>
      <c r="C21" s="43" t="s">
        <v>299</v>
      </c>
      <c r="D21" s="11" t="s">
        <v>161</v>
      </c>
      <c r="E21" s="11"/>
      <c r="F21" s="11" t="s">
        <v>171</v>
      </c>
      <c r="G21" s="98"/>
      <c r="H21" s="98"/>
      <c r="I21" s="101" t="s">
        <v>179</v>
      </c>
      <c r="J21" s="98"/>
      <c r="K21" s="98"/>
      <c r="L21" s="99"/>
      <c r="M21" s="99"/>
      <c r="N21" s="99" t="s">
        <v>321</v>
      </c>
      <c r="O21" s="99"/>
      <c r="P21" s="99"/>
    </row>
    <row r="22" spans="1:16" ht="57.6" x14ac:dyDescent="0.3">
      <c r="A22" s="38" t="s">
        <v>574</v>
      </c>
      <c r="B22" s="11" t="s">
        <v>170</v>
      </c>
      <c r="C22" s="43" t="s">
        <v>299</v>
      </c>
      <c r="D22" s="11" t="s">
        <v>161</v>
      </c>
      <c r="E22" s="11" t="s">
        <v>176</v>
      </c>
      <c r="F22" s="11" t="s">
        <v>180</v>
      </c>
      <c r="G22" s="98"/>
      <c r="H22" s="98"/>
      <c r="I22" s="101" t="s">
        <v>181</v>
      </c>
      <c r="J22" s="98"/>
      <c r="K22" s="98"/>
      <c r="L22" s="99"/>
      <c r="M22" s="99"/>
      <c r="N22" s="99" t="s">
        <v>322</v>
      </c>
      <c r="O22" s="99"/>
      <c r="P22" s="99"/>
    </row>
    <row r="23" spans="1:16" ht="72" x14ac:dyDescent="0.3">
      <c r="A23" s="97" t="s">
        <v>112</v>
      </c>
      <c r="B23" s="11" t="s">
        <v>164</v>
      </c>
      <c r="C23" s="10" t="s">
        <v>323</v>
      </c>
      <c r="D23" s="11" t="s">
        <v>161</v>
      </c>
      <c r="E23" s="11" t="s">
        <v>167</v>
      </c>
      <c r="F23" s="11" t="s">
        <v>184</v>
      </c>
      <c r="G23" s="98" t="s">
        <v>167</v>
      </c>
      <c r="H23" s="98" t="s">
        <v>167</v>
      </c>
      <c r="I23" s="98" t="s">
        <v>167</v>
      </c>
      <c r="J23" s="98" t="s">
        <v>167</v>
      </c>
      <c r="K23" s="98" t="s">
        <v>167</v>
      </c>
      <c r="L23" s="99"/>
      <c r="M23" s="99"/>
      <c r="N23" s="99" t="s">
        <v>324</v>
      </c>
      <c r="O23" s="99"/>
      <c r="P23" s="99"/>
    </row>
    <row r="24" spans="1:16" ht="57.6" x14ac:dyDescent="0.3">
      <c r="A24" s="10" t="s">
        <v>119</v>
      </c>
      <c r="B24" s="11" t="s">
        <v>170</v>
      </c>
      <c r="C24" s="43" t="s">
        <v>299</v>
      </c>
      <c r="D24" s="11" t="s">
        <v>159</v>
      </c>
      <c r="E24" s="11"/>
      <c r="F24" s="11" t="s">
        <v>258</v>
      </c>
      <c r="G24" s="98"/>
      <c r="H24" s="101" t="s">
        <v>259</v>
      </c>
      <c r="I24" s="98"/>
      <c r="J24" s="105" t="s">
        <v>260</v>
      </c>
      <c r="K24" s="98"/>
      <c r="L24" s="99"/>
      <c r="M24" s="99" t="s">
        <v>325</v>
      </c>
      <c r="N24" s="99" t="s">
        <v>325</v>
      </c>
      <c r="O24" s="99" t="s">
        <v>326</v>
      </c>
      <c r="P24" s="99" t="s">
        <v>325</v>
      </c>
    </row>
    <row r="25" spans="1:16" ht="57.6" x14ac:dyDescent="0.3">
      <c r="A25" s="38" t="s">
        <v>461</v>
      </c>
      <c r="B25" s="11" t="s">
        <v>170</v>
      </c>
      <c r="C25" s="43" t="s">
        <v>299</v>
      </c>
      <c r="D25" s="11" t="s">
        <v>161</v>
      </c>
      <c r="E25" s="11" t="s">
        <v>176</v>
      </c>
      <c r="F25" s="11" t="s">
        <v>182</v>
      </c>
      <c r="G25" s="101"/>
      <c r="H25" s="98"/>
      <c r="I25" s="101" t="s">
        <v>183</v>
      </c>
      <c r="J25" s="98"/>
      <c r="K25" s="98"/>
      <c r="L25" s="99"/>
      <c r="M25" s="99"/>
      <c r="N25" s="99" t="s">
        <v>327</v>
      </c>
      <c r="O25" s="99"/>
      <c r="P25" s="99"/>
    </row>
    <row r="26" spans="1:16" ht="57.6" x14ac:dyDescent="0.3">
      <c r="A26" s="97" t="s">
        <v>60</v>
      </c>
      <c r="B26" s="11" t="s">
        <v>164</v>
      </c>
      <c r="C26" s="10" t="s">
        <v>328</v>
      </c>
      <c r="D26" s="11" t="s">
        <v>185</v>
      </c>
      <c r="E26" s="11" t="s">
        <v>167</v>
      </c>
      <c r="F26" s="11" t="s">
        <v>186</v>
      </c>
      <c r="G26" s="98" t="s">
        <v>167</v>
      </c>
      <c r="H26" s="98" t="s">
        <v>167</v>
      </c>
      <c r="I26" s="98" t="s">
        <v>167</v>
      </c>
      <c r="J26" s="98" t="s">
        <v>167</v>
      </c>
      <c r="K26" s="98" t="s">
        <v>167</v>
      </c>
      <c r="L26" s="99"/>
      <c r="M26" s="99" t="s">
        <v>329</v>
      </c>
      <c r="N26" s="99" t="s">
        <v>329</v>
      </c>
      <c r="O26" s="99"/>
      <c r="P26" s="99" t="s">
        <v>329</v>
      </c>
    </row>
    <row r="27" spans="1:16" ht="129.6" x14ac:dyDescent="0.3">
      <c r="A27" s="97" t="s">
        <v>115</v>
      </c>
      <c r="B27" s="11" t="s">
        <v>164</v>
      </c>
      <c r="C27" s="10" t="s">
        <v>330</v>
      </c>
      <c r="D27" s="11" t="s">
        <v>161</v>
      </c>
      <c r="E27" s="11"/>
      <c r="F27" s="11" t="s">
        <v>184</v>
      </c>
      <c r="G27" s="98" t="s">
        <v>166</v>
      </c>
      <c r="H27" s="98" t="s">
        <v>166</v>
      </c>
      <c r="I27" s="98" t="s">
        <v>166</v>
      </c>
      <c r="J27" s="98" t="s">
        <v>166</v>
      </c>
      <c r="K27" s="98" t="s">
        <v>167</v>
      </c>
      <c r="L27" s="99"/>
      <c r="M27" s="100"/>
      <c r="N27" s="99" t="s">
        <v>331</v>
      </c>
      <c r="O27" s="99"/>
      <c r="P27" s="99"/>
    </row>
    <row r="28" spans="1:16" ht="172.8" x14ac:dyDescent="0.3">
      <c r="A28" s="97" t="s">
        <v>117</v>
      </c>
      <c r="B28" s="11" t="s">
        <v>164</v>
      </c>
      <c r="C28" s="10" t="s">
        <v>332</v>
      </c>
      <c r="D28" s="11" t="s">
        <v>161</v>
      </c>
      <c r="E28" s="11"/>
      <c r="F28" s="11" t="s">
        <v>184</v>
      </c>
      <c r="G28" s="98" t="s">
        <v>166</v>
      </c>
      <c r="H28" s="98" t="s">
        <v>166</v>
      </c>
      <c r="I28" s="98" t="s">
        <v>166</v>
      </c>
      <c r="J28" s="98" t="s">
        <v>166</v>
      </c>
      <c r="K28" s="98" t="s">
        <v>166</v>
      </c>
      <c r="L28" s="99"/>
      <c r="M28" s="99"/>
      <c r="N28" s="99" t="s">
        <v>333</v>
      </c>
      <c r="O28" s="99"/>
      <c r="P28" s="99"/>
    </row>
    <row r="29" spans="1:16" ht="57.6" x14ac:dyDescent="0.3">
      <c r="A29" s="10" t="s">
        <v>135</v>
      </c>
      <c r="B29" s="11" t="s">
        <v>170</v>
      </c>
      <c r="C29" s="43" t="s">
        <v>299</v>
      </c>
      <c r="D29" s="11" t="s">
        <v>161</v>
      </c>
      <c r="E29" s="11"/>
      <c r="F29" s="11" t="s">
        <v>256</v>
      </c>
      <c r="G29" s="98"/>
      <c r="H29" s="98"/>
      <c r="I29" s="101" t="s">
        <v>257</v>
      </c>
      <c r="J29" s="98"/>
      <c r="K29" s="98"/>
      <c r="L29" s="99"/>
      <c r="M29" s="99"/>
      <c r="N29" s="99" t="s">
        <v>334</v>
      </c>
      <c r="O29" s="99"/>
      <c r="P29" s="99"/>
    </row>
    <row r="30" spans="1:16" ht="57.6" x14ac:dyDescent="0.3">
      <c r="A30" s="38" t="s">
        <v>62</v>
      </c>
      <c r="B30" s="11" t="s">
        <v>170</v>
      </c>
      <c r="C30" s="43" t="s">
        <v>299</v>
      </c>
      <c r="D30" s="11" t="s">
        <v>159</v>
      </c>
      <c r="E30" s="11" t="s">
        <v>167</v>
      </c>
      <c r="F30" s="11" t="s">
        <v>186</v>
      </c>
      <c r="G30" s="98"/>
      <c r="H30" s="98" t="s">
        <v>187</v>
      </c>
      <c r="I30" s="98"/>
      <c r="J30" s="98" t="s">
        <v>188</v>
      </c>
      <c r="K30" s="101"/>
      <c r="L30" s="99"/>
      <c r="M30" s="99" t="s">
        <v>335</v>
      </c>
      <c r="N30" s="99" t="s">
        <v>335</v>
      </c>
      <c r="O30" s="99" t="s">
        <v>336</v>
      </c>
      <c r="P30" s="99" t="s">
        <v>335</v>
      </c>
    </row>
    <row r="31" spans="1:16" ht="172.8" x14ac:dyDescent="0.3">
      <c r="A31" s="97" t="s">
        <v>64</v>
      </c>
      <c r="B31" s="11" t="s">
        <v>164</v>
      </c>
      <c r="C31" s="10" t="s">
        <v>337</v>
      </c>
      <c r="D31" s="11" t="s">
        <v>185</v>
      </c>
      <c r="E31" s="11"/>
      <c r="F31" s="11" t="s">
        <v>189</v>
      </c>
      <c r="G31" s="98" t="s">
        <v>167</v>
      </c>
      <c r="H31" s="98" t="s">
        <v>167</v>
      </c>
      <c r="I31" s="98" t="s">
        <v>167</v>
      </c>
      <c r="J31" s="98" t="s">
        <v>167</v>
      </c>
      <c r="K31" s="98" t="s">
        <v>167</v>
      </c>
      <c r="L31" s="99"/>
      <c r="M31" s="99" t="s">
        <v>338</v>
      </c>
      <c r="N31" s="99" t="s">
        <v>338</v>
      </c>
      <c r="O31" s="99"/>
      <c r="P31" s="99" t="s">
        <v>338</v>
      </c>
    </row>
    <row r="32" spans="1:16" ht="57.6" x14ac:dyDescent="0.3">
      <c r="A32" s="10" t="s">
        <v>245</v>
      </c>
      <c r="B32" s="11" t="s">
        <v>170</v>
      </c>
      <c r="C32" s="43" t="s">
        <v>299</v>
      </c>
      <c r="D32" s="11" t="s">
        <v>162</v>
      </c>
      <c r="E32" s="11"/>
      <c r="F32" s="11" t="s">
        <v>240</v>
      </c>
      <c r="G32" s="98"/>
      <c r="H32" s="101"/>
      <c r="I32" s="98"/>
      <c r="J32" s="101" t="s">
        <v>246</v>
      </c>
      <c r="K32" s="98"/>
      <c r="L32" s="99"/>
      <c r="M32" s="99"/>
      <c r="N32" s="99"/>
      <c r="O32" s="99" t="s">
        <v>339</v>
      </c>
      <c r="P32" s="99"/>
    </row>
    <row r="33" spans="1:16" ht="57.6" x14ac:dyDescent="0.3">
      <c r="A33" s="10" t="s">
        <v>533</v>
      </c>
      <c r="B33" s="11" t="s">
        <v>170</v>
      </c>
      <c r="C33" s="43" t="s">
        <v>299</v>
      </c>
      <c r="D33" s="11" t="s">
        <v>159</v>
      </c>
      <c r="E33" s="11"/>
      <c r="F33" s="11" t="s">
        <v>240</v>
      </c>
      <c r="G33" s="98"/>
      <c r="H33" s="101" t="s">
        <v>241</v>
      </c>
      <c r="I33" s="98"/>
      <c r="J33" s="98" t="s">
        <v>242</v>
      </c>
      <c r="K33" s="98"/>
      <c r="L33" s="99"/>
      <c r="M33" s="99" t="s">
        <v>243</v>
      </c>
      <c r="N33" s="99" t="s">
        <v>243</v>
      </c>
      <c r="O33" s="99" t="s">
        <v>244</v>
      </c>
      <c r="P33" s="99" t="s">
        <v>243</v>
      </c>
    </row>
    <row r="34" spans="1:16" ht="57.6" x14ac:dyDescent="0.3">
      <c r="A34" s="38" t="s">
        <v>464</v>
      </c>
      <c r="B34" s="11" t="s">
        <v>170</v>
      </c>
      <c r="C34" s="43" t="s">
        <v>299</v>
      </c>
      <c r="D34" s="11" t="s">
        <v>161</v>
      </c>
      <c r="E34" s="11" t="s">
        <v>167</v>
      </c>
      <c r="F34" s="11" t="s">
        <v>190</v>
      </c>
      <c r="G34" s="113" t="s">
        <v>167</v>
      </c>
      <c r="H34" s="98"/>
      <c r="I34" s="113" t="s">
        <v>191</v>
      </c>
      <c r="J34" s="113" t="s">
        <v>167</v>
      </c>
      <c r="K34" s="113" t="s">
        <v>167</v>
      </c>
      <c r="L34" s="99"/>
      <c r="M34" s="100"/>
      <c r="N34" s="99" t="s">
        <v>340</v>
      </c>
      <c r="O34" s="99"/>
      <c r="P34" s="99"/>
    </row>
    <row r="35" spans="1:16" ht="57.6" x14ac:dyDescent="0.3">
      <c r="A35" s="38" t="s">
        <v>467</v>
      </c>
      <c r="B35" s="11" t="s">
        <v>170</v>
      </c>
      <c r="C35" s="43" t="s">
        <v>299</v>
      </c>
      <c r="D35" s="11" t="s">
        <v>161</v>
      </c>
      <c r="E35" s="11" t="s">
        <v>176</v>
      </c>
      <c r="F35" s="11" t="s">
        <v>190</v>
      </c>
      <c r="G35" s="114" t="s">
        <v>167</v>
      </c>
      <c r="H35" s="98"/>
      <c r="I35" s="113" t="s">
        <v>192</v>
      </c>
      <c r="J35" s="114" t="s">
        <v>167</v>
      </c>
      <c r="K35" s="114" t="s">
        <v>167</v>
      </c>
      <c r="L35" s="99"/>
      <c r="M35" s="99"/>
      <c r="N35" s="99" t="s">
        <v>341</v>
      </c>
      <c r="O35" s="99"/>
      <c r="P35" s="99"/>
    </row>
    <row r="36" spans="1:16" ht="57.6" x14ac:dyDescent="0.3">
      <c r="A36" s="10" t="s">
        <v>237</v>
      </c>
      <c r="B36" s="11" t="s">
        <v>170</v>
      </c>
      <c r="C36" s="43" t="s">
        <v>299</v>
      </c>
      <c r="D36" s="11" t="s">
        <v>162</v>
      </c>
      <c r="E36" s="11"/>
      <c r="F36" s="11" t="s">
        <v>182</v>
      </c>
      <c r="G36" s="98"/>
      <c r="H36" s="101"/>
      <c r="I36" s="98"/>
      <c r="J36" s="101" t="s">
        <v>239</v>
      </c>
      <c r="K36" s="98"/>
      <c r="L36" s="99"/>
      <c r="M36" s="115"/>
      <c r="N36" s="99"/>
      <c r="O36" s="102" t="s">
        <v>342</v>
      </c>
      <c r="P36" s="99"/>
    </row>
    <row r="37" spans="1:16" ht="57.6" x14ac:dyDescent="0.3">
      <c r="A37" s="10" t="s">
        <v>538</v>
      </c>
      <c r="B37" s="11" t="s">
        <v>170</v>
      </c>
      <c r="C37" s="43" t="s">
        <v>299</v>
      </c>
      <c r="D37" s="11" t="s">
        <v>159</v>
      </c>
      <c r="E37" s="11"/>
      <c r="F37" s="11" t="s">
        <v>182</v>
      </c>
      <c r="G37" s="98"/>
      <c r="H37" s="101" t="s">
        <v>233</v>
      </c>
      <c r="I37" s="98"/>
      <c r="J37" s="101" t="s">
        <v>234</v>
      </c>
      <c r="K37" s="98"/>
      <c r="L37" s="99"/>
      <c r="M37" s="102" t="s">
        <v>343</v>
      </c>
      <c r="N37" s="102" t="s">
        <v>343</v>
      </c>
      <c r="O37" s="102" t="s">
        <v>236</v>
      </c>
      <c r="P37" s="102" t="s">
        <v>343</v>
      </c>
    </row>
    <row r="38" spans="1:16" ht="57.6" x14ac:dyDescent="0.3">
      <c r="A38" s="38" t="s">
        <v>344</v>
      </c>
      <c r="B38" s="11" t="s">
        <v>170</v>
      </c>
      <c r="C38" s="43" t="s">
        <v>299</v>
      </c>
      <c r="D38" s="11" t="s">
        <v>161</v>
      </c>
      <c r="E38" s="11" t="s">
        <v>176</v>
      </c>
      <c r="F38" s="11" t="s">
        <v>190</v>
      </c>
      <c r="G38" s="113" t="s">
        <v>167</v>
      </c>
      <c r="H38" s="98"/>
      <c r="I38" s="113" t="s">
        <v>193</v>
      </c>
      <c r="J38" s="114" t="s">
        <v>167</v>
      </c>
      <c r="K38" s="114" t="s">
        <v>167</v>
      </c>
      <c r="L38" s="99"/>
      <c r="M38" s="99"/>
      <c r="N38" s="99" t="s">
        <v>345</v>
      </c>
      <c r="O38" s="99"/>
      <c r="P38" s="99"/>
    </row>
    <row r="39" spans="1:16" ht="57.6" x14ac:dyDescent="0.3">
      <c r="A39" s="10" t="s">
        <v>97</v>
      </c>
      <c r="B39" s="11" t="s">
        <v>170</v>
      </c>
      <c r="C39" s="43" t="s">
        <v>299</v>
      </c>
      <c r="D39" s="11" t="s">
        <v>159</v>
      </c>
      <c r="E39" s="11"/>
      <c r="F39" s="11" t="s">
        <v>271</v>
      </c>
      <c r="G39" s="101" t="s">
        <v>173</v>
      </c>
      <c r="H39" s="101" t="s">
        <v>272</v>
      </c>
      <c r="I39" s="98"/>
      <c r="J39" s="101" t="s">
        <v>273</v>
      </c>
      <c r="K39" s="98"/>
      <c r="L39" s="99"/>
      <c r="M39" s="99" t="s">
        <v>346</v>
      </c>
      <c r="N39" s="99" t="s">
        <v>346</v>
      </c>
      <c r="O39" s="99" t="s">
        <v>347</v>
      </c>
      <c r="P39" s="99" t="s">
        <v>346</v>
      </c>
    </row>
    <row r="40" spans="1:16" ht="57.6" x14ac:dyDescent="0.3">
      <c r="A40" s="10" t="s">
        <v>98</v>
      </c>
      <c r="B40" s="11" t="s">
        <v>170</v>
      </c>
      <c r="C40" s="43" t="s">
        <v>299</v>
      </c>
      <c r="D40" s="11" t="s">
        <v>159</v>
      </c>
      <c r="E40" s="11"/>
      <c r="F40" s="11" t="s">
        <v>271</v>
      </c>
      <c r="G40" s="98"/>
      <c r="H40" s="104" t="s">
        <v>277</v>
      </c>
      <c r="I40" s="98"/>
      <c r="J40" s="104" t="s">
        <v>278</v>
      </c>
      <c r="K40" s="98"/>
      <c r="L40" s="99"/>
      <c r="M40" s="99" t="s">
        <v>346</v>
      </c>
      <c r="N40" s="99" t="s">
        <v>346</v>
      </c>
      <c r="O40" s="99" t="s">
        <v>347</v>
      </c>
      <c r="P40" s="99" t="s">
        <v>346</v>
      </c>
    </row>
    <row r="41" spans="1:16" ht="43.2" x14ac:dyDescent="0.3">
      <c r="A41" s="97" t="s">
        <v>67</v>
      </c>
      <c r="B41" s="11" t="s">
        <v>164</v>
      </c>
      <c r="C41" s="10" t="s">
        <v>348</v>
      </c>
      <c r="D41" s="11" t="s">
        <v>161</v>
      </c>
      <c r="E41" s="11" t="s">
        <v>176</v>
      </c>
      <c r="F41" s="11" t="s">
        <v>186</v>
      </c>
      <c r="G41" s="98" t="s">
        <v>166</v>
      </c>
      <c r="H41" s="98" t="s">
        <v>166</v>
      </c>
      <c r="I41" s="98" t="s">
        <v>166</v>
      </c>
      <c r="J41" s="98" t="s">
        <v>166</v>
      </c>
      <c r="K41" s="98" t="s">
        <v>166</v>
      </c>
      <c r="L41" s="99"/>
      <c r="M41" s="99"/>
      <c r="N41" s="99" t="s">
        <v>349</v>
      </c>
      <c r="O41" s="99"/>
      <c r="P41" s="99"/>
    </row>
    <row r="42" spans="1:16" ht="57.6" x14ac:dyDescent="0.3">
      <c r="A42" s="38" t="s">
        <v>399</v>
      </c>
      <c r="B42" s="11" t="s">
        <v>170</v>
      </c>
      <c r="C42" s="43" t="s">
        <v>299</v>
      </c>
      <c r="D42" s="11" t="s">
        <v>185</v>
      </c>
      <c r="E42" s="11"/>
      <c r="F42" s="11" t="s">
        <v>194</v>
      </c>
      <c r="G42" s="101" t="s">
        <v>195</v>
      </c>
      <c r="H42" s="98"/>
      <c r="I42" s="98"/>
      <c r="J42" s="98"/>
      <c r="K42" s="98"/>
      <c r="L42" s="99" t="s">
        <v>350</v>
      </c>
      <c r="M42" s="99"/>
      <c r="N42" s="99" t="s">
        <v>350</v>
      </c>
      <c r="O42" s="99" t="s">
        <v>350</v>
      </c>
      <c r="P42" s="99" t="s">
        <v>350</v>
      </c>
    </row>
    <row r="43" spans="1:16" ht="57.6" x14ac:dyDescent="0.3">
      <c r="A43" s="38" t="s">
        <v>71</v>
      </c>
      <c r="B43" s="11" t="s">
        <v>170</v>
      </c>
      <c r="C43" s="43" t="s">
        <v>299</v>
      </c>
      <c r="D43" s="11" t="s">
        <v>159</v>
      </c>
      <c r="E43" s="11"/>
      <c r="F43" s="11" t="s">
        <v>194</v>
      </c>
      <c r="G43" s="101" t="s">
        <v>196</v>
      </c>
      <c r="H43" s="98"/>
      <c r="I43" s="98"/>
      <c r="J43" s="101" t="s">
        <v>173</v>
      </c>
      <c r="K43" s="98"/>
      <c r="L43" s="99" t="s">
        <v>351</v>
      </c>
      <c r="M43" s="99"/>
      <c r="N43" s="99" t="s">
        <v>351</v>
      </c>
      <c r="O43" s="99" t="s">
        <v>351</v>
      </c>
      <c r="P43" s="99" t="s">
        <v>351</v>
      </c>
    </row>
    <row r="44" spans="1:16" ht="57.6" x14ac:dyDescent="0.3">
      <c r="A44" s="38" t="s">
        <v>556</v>
      </c>
      <c r="B44" s="11" t="s">
        <v>170</v>
      </c>
      <c r="C44" s="43" t="s">
        <v>299</v>
      </c>
      <c r="D44" s="11" t="s">
        <v>185</v>
      </c>
      <c r="E44" s="11" t="s">
        <v>167</v>
      </c>
      <c r="F44" s="11" t="s">
        <v>189</v>
      </c>
      <c r="G44" s="98" t="s">
        <v>167</v>
      </c>
      <c r="H44" s="101" t="s">
        <v>197</v>
      </c>
      <c r="I44" s="98" t="s">
        <v>167</v>
      </c>
      <c r="J44" s="98" t="s">
        <v>167</v>
      </c>
      <c r="K44" s="98" t="s">
        <v>167</v>
      </c>
      <c r="L44" s="99"/>
      <c r="M44" s="102" t="s">
        <v>198</v>
      </c>
      <c r="N44" s="102" t="s">
        <v>557</v>
      </c>
      <c r="O44" s="99"/>
      <c r="P44" s="102" t="s">
        <v>198</v>
      </c>
    </row>
    <row r="45" spans="1:16" ht="57.6" x14ac:dyDescent="0.3">
      <c r="A45" s="38" t="s">
        <v>73</v>
      </c>
      <c r="B45" s="11" t="s">
        <v>170</v>
      </c>
      <c r="C45" s="43" t="s">
        <v>299</v>
      </c>
      <c r="D45" s="11" t="s">
        <v>185</v>
      </c>
      <c r="E45" s="11" t="s">
        <v>167</v>
      </c>
      <c r="F45" s="11" t="s">
        <v>189</v>
      </c>
      <c r="G45" s="98" t="s">
        <v>167</v>
      </c>
      <c r="H45" s="101" t="s">
        <v>199</v>
      </c>
      <c r="I45" s="98" t="s">
        <v>167</v>
      </c>
      <c r="J45" s="98" t="s">
        <v>167</v>
      </c>
      <c r="K45" s="98" t="s">
        <v>167</v>
      </c>
      <c r="L45" s="99"/>
      <c r="M45" s="99" t="s">
        <v>352</v>
      </c>
      <c r="N45" s="99" t="s">
        <v>352</v>
      </c>
      <c r="O45" s="99"/>
      <c r="P45" s="99" t="s">
        <v>352</v>
      </c>
    </row>
    <row r="46" spans="1:16" ht="57.6" x14ac:dyDescent="0.3">
      <c r="A46" s="50" t="s">
        <v>458</v>
      </c>
      <c r="B46" s="11" t="s">
        <v>170</v>
      </c>
      <c r="C46" s="43" t="s">
        <v>299</v>
      </c>
      <c r="D46" s="11" t="s">
        <v>185</v>
      </c>
      <c r="E46" s="11" t="s">
        <v>167</v>
      </c>
      <c r="F46" s="11" t="s">
        <v>180</v>
      </c>
      <c r="G46" s="98" t="s">
        <v>167</v>
      </c>
      <c r="H46" s="101" t="s">
        <v>200</v>
      </c>
      <c r="I46" s="101" t="s">
        <v>173</v>
      </c>
      <c r="J46" s="101" t="s">
        <v>173</v>
      </c>
      <c r="K46" s="101" t="s">
        <v>173</v>
      </c>
      <c r="L46" s="99"/>
      <c r="M46" s="99" t="s">
        <v>353</v>
      </c>
      <c r="N46" s="99" t="s">
        <v>353</v>
      </c>
      <c r="O46" s="99"/>
      <c r="P46" s="99" t="s">
        <v>353</v>
      </c>
    </row>
    <row r="47" spans="1:16" ht="57.6" x14ac:dyDescent="0.3">
      <c r="A47" s="86" t="s">
        <v>86</v>
      </c>
      <c r="B47" s="11" t="s">
        <v>170</v>
      </c>
      <c r="C47" s="43" t="s">
        <v>299</v>
      </c>
      <c r="D47" s="11" t="s">
        <v>159</v>
      </c>
      <c r="E47" s="11"/>
      <c r="F47" s="11" t="s">
        <v>279</v>
      </c>
      <c r="G47" s="98"/>
      <c r="H47" s="98" t="s">
        <v>280</v>
      </c>
      <c r="I47" s="98"/>
      <c r="J47" s="98" t="s">
        <v>281</v>
      </c>
      <c r="K47" s="98"/>
      <c r="L47" s="99"/>
      <c r="M47" s="99" t="s">
        <v>354</v>
      </c>
      <c r="N47" s="99" t="s">
        <v>354</v>
      </c>
      <c r="O47" s="99" t="s">
        <v>355</v>
      </c>
      <c r="P47" s="99" t="s">
        <v>354</v>
      </c>
    </row>
    <row r="48" spans="1:16" ht="57.6" x14ac:dyDescent="0.3">
      <c r="A48" s="38" t="s">
        <v>74</v>
      </c>
      <c r="B48" s="11" t="s">
        <v>170</v>
      </c>
      <c r="C48" s="43" t="s">
        <v>299</v>
      </c>
      <c r="D48" s="11" t="s">
        <v>159</v>
      </c>
      <c r="E48" s="11" t="s">
        <v>167</v>
      </c>
      <c r="F48" s="11" t="s">
        <v>186</v>
      </c>
      <c r="G48" s="98" t="s">
        <v>167</v>
      </c>
      <c r="H48" s="101" t="s">
        <v>201</v>
      </c>
      <c r="I48" s="101" t="s">
        <v>173</v>
      </c>
      <c r="J48" s="101" t="s">
        <v>202</v>
      </c>
      <c r="K48" s="101" t="s">
        <v>173</v>
      </c>
      <c r="L48" s="99"/>
      <c r="M48" s="99" t="s">
        <v>356</v>
      </c>
      <c r="N48" s="99" t="s">
        <v>356</v>
      </c>
      <c r="O48" s="99" t="s">
        <v>357</v>
      </c>
      <c r="P48" s="99" t="s">
        <v>356</v>
      </c>
    </row>
    <row r="49" spans="1:16" ht="57.6" x14ac:dyDescent="0.3">
      <c r="A49" s="38" t="s">
        <v>404</v>
      </c>
      <c r="B49" s="11" t="s">
        <v>170</v>
      </c>
      <c r="C49" s="43" t="s">
        <v>299</v>
      </c>
      <c r="D49" s="11" t="s">
        <v>159</v>
      </c>
      <c r="E49" s="11" t="s">
        <v>167</v>
      </c>
      <c r="F49" s="11" t="s">
        <v>186</v>
      </c>
      <c r="G49" s="98" t="s">
        <v>167</v>
      </c>
      <c r="H49" s="101" t="s">
        <v>203</v>
      </c>
      <c r="I49" s="116" t="s">
        <v>173</v>
      </c>
      <c r="J49" s="113" t="s">
        <v>204</v>
      </c>
      <c r="K49" s="101" t="s">
        <v>173</v>
      </c>
      <c r="L49" s="99"/>
      <c r="M49" s="99" t="s">
        <v>358</v>
      </c>
      <c r="N49" s="99" t="s">
        <v>358</v>
      </c>
      <c r="O49" s="99" t="s">
        <v>359</v>
      </c>
      <c r="P49" s="99" t="s">
        <v>358</v>
      </c>
    </row>
    <row r="50" spans="1:16" ht="72" x14ac:dyDescent="0.3">
      <c r="A50" s="38" t="s">
        <v>75</v>
      </c>
      <c r="B50" s="11" t="s">
        <v>170</v>
      </c>
      <c r="C50" s="43" t="s">
        <v>299</v>
      </c>
      <c r="D50" s="11" t="s">
        <v>159</v>
      </c>
      <c r="E50" s="11" t="s">
        <v>167</v>
      </c>
      <c r="F50" s="10" t="s">
        <v>206</v>
      </c>
      <c r="G50" s="98" t="s">
        <v>167</v>
      </c>
      <c r="H50" s="101" t="s">
        <v>207</v>
      </c>
      <c r="I50" s="101" t="s">
        <v>173</v>
      </c>
      <c r="J50" s="101" t="s">
        <v>208</v>
      </c>
      <c r="K50" s="101" t="s">
        <v>173</v>
      </c>
      <c r="L50" s="99"/>
      <c r="M50" s="102" t="s">
        <v>209</v>
      </c>
      <c r="N50" s="102" t="s">
        <v>209</v>
      </c>
      <c r="O50" s="102" t="s">
        <v>210</v>
      </c>
      <c r="P50" s="102" t="s">
        <v>209</v>
      </c>
    </row>
    <row r="51" spans="1:16" ht="57.6" x14ac:dyDescent="0.3">
      <c r="A51" s="38" t="s">
        <v>408</v>
      </c>
      <c r="B51" s="11" t="s">
        <v>170</v>
      </c>
      <c r="C51" s="43" t="s">
        <v>299</v>
      </c>
      <c r="D51" s="11" t="s">
        <v>185</v>
      </c>
      <c r="E51" s="11" t="s">
        <v>167</v>
      </c>
      <c r="F51" s="11" t="s">
        <v>180</v>
      </c>
      <c r="G51" s="98" t="s">
        <v>167</v>
      </c>
      <c r="H51" s="101" t="s">
        <v>173</v>
      </c>
      <c r="I51" s="101" t="s">
        <v>211</v>
      </c>
      <c r="J51" s="101"/>
      <c r="K51" s="101" t="s">
        <v>212</v>
      </c>
      <c r="L51" s="99"/>
      <c r="M51" s="99"/>
      <c r="N51" s="102" t="s">
        <v>411</v>
      </c>
      <c r="O51" s="102" t="s">
        <v>214</v>
      </c>
      <c r="P51" s="102" t="s">
        <v>215</v>
      </c>
    </row>
    <row r="52" spans="1:16" ht="57.6" x14ac:dyDescent="0.3">
      <c r="A52" s="38" t="s">
        <v>470</v>
      </c>
      <c r="B52" s="11" t="s">
        <v>170</v>
      </c>
      <c r="C52" s="43" t="s">
        <v>299</v>
      </c>
      <c r="D52" s="11" t="s">
        <v>159</v>
      </c>
      <c r="E52" s="11" t="s">
        <v>167</v>
      </c>
      <c r="F52" s="11" t="s">
        <v>189</v>
      </c>
      <c r="G52" s="98" t="s">
        <v>167</v>
      </c>
      <c r="H52" s="101" t="s">
        <v>216</v>
      </c>
      <c r="I52" s="98"/>
      <c r="J52" s="101" t="s">
        <v>217</v>
      </c>
      <c r="K52" s="98"/>
      <c r="L52" s="99"/>
      <c r="M52" s="102" t="s">
        <v>218</v>
      </c>
      <c r="N52" s="102" t="s">
        <v>218</v>
      </c>
      <c r="O52" s="102" t="s">
        <v>219</v>
      </c>
      <c r="P52" s="102" t="s">
        <v>218</v>
      </c>
    </row>
    <row r="53" spans="1:16" ht="158.4" x14ac:dyDescent="0.3">
      <c r="A53" s="97" t="s">
        <v>79</v>
      </c>
      <c r="B53" s="11" t="s">
        <v>164</v>
      </c>
      <c r="C53" s="43" t="s">
        <v>360</v>
      </c>
      <c r="D53" s="11" t="s">
        <v>161</v>
      </c>
      <c r="E53" s="11" t="s">
        <v>167</v>
      </c>
      <c r="F53" s="11" t="s">
        <v>180</v>
      </c>
      <c r="G53" s="98" t="s">
        <v>166</v>
      </c>
      <c r="H53" s="98" t="s">
        <v>166</v>
      </c>
      <c r="I53" s="98" t="s">
        <v>166</v>
      </c>
      <c r="J53" s="98" t="s">
        <v>166</v>
      </c>
      <c r="K53" s="98" t="s">
        <v>166</v>
      </c>
      <c r="L53" s="99"/>
      <c r="M53" s="99"/>
      <c r="N53" s="99" t="s">
        <v>361</v>
      </c>
      <c r="O53" s="99"/>
      <c r="P53" s="99"/>
    </row>
    <row r="54" spans="1:16" ht="172.8" x14ac:dyDescent="0.3">
      <c r="A54" s="97" t="s">
        <v>83</v>
      </c>
      <c r="B54" s="11" t="s">
        <v>164</v>
      </c>
      <c r="C54" s="10" t="s">
        <v>362</v>
      </c>
      <c r="D54" s="11" t="s">
        <v>159</v>
      </c>
      <c r="E54" s="11"/>
      <c r="F54" s="11" t="s">
        <v>180</v>
      </c>
      <c r="G54" s="98" t="s">
        <v>166</v>
      </c>
      <c r="H54" s="98" t="s">
        <v>166</v>
      </c>
      <c r="I54" s="98" t="s">
        <v>166</v>
      </c>
      <c r="J54" s="98" t="s">
        <v>166</v>
      </c>
      <c r="K54" s="98" t="s">
        <v>166</v>
      </c>
      <c r="L54" s="99" t="s">
        <v>363</v>
      </c>
      <c r="M54" s="99"/>
      <c r="N54" s="99" t="s">
        <v>363</v>
      </c>
      <c r="O54" s="99" t="s">
        <v>363</v>
      </c>
      <c r="P54" s="99" t="s">
        <v>363</v>
      </c>
    </row>
    <row r="55" spans="1:16" ht="57.6" x14ac:dyDescent="0.3">
      <c r="A55" s="38" t="s">
        <v>127</v>
      </c>
      <c r="B55" s="11" t="s">
        <v>170</v>
      </c>
      <c r="C55" s="43" t="s">
        <v>299</v>
      </c>
      <c r="D55" s="11" t="s">
        <v>161</v>
      </c>
      <c r="E55" s="11"/>
      <c r="F55" s="11" t="s">
        <v>220</v>
      </c>
      <c r="G55" s="98"/>
      <c r="H55" s="101" t="s">
        <v>221</v>
      </c>
      <c r="I55" s="98"/>
      <c r="J55" s="98"/>
      <c r="K55" s="98"/>
      <c r="L55" s="99"/>
      <c r="M55" s="99" t="s">
        <v>364</v>
      </c>
      <c r="N55" s="99" t="s">
        <v>364</v>
      </c>
      <c r="O55" s="99"/>
      <c r="P55" s="99" t="s">
        <v>364</v>
      </c>
    </row>
    <row r="56" spans="1:16" ht="57.6" x14ac:dyDescent="0.3">
      <c r="A56" s="117" t="s">
        <v>141</v>
      </c>
      <c r="B56" s="118" t="s">
        <v>170</v>
      </c>
      <c r="C56" s="119" t="s">
        <v>299</v>
      </c>
      <c r="D56" s="118" t="s">
        <v>159</v>
      </c>
      <c r="E56" s="118"/>
      <c r="F56" s="118" t="s">
        <v>222</v>
      </c>
      <c r="G56" s="120" t="s">
        <v>253</v>
      </c>
      <c r="H56" s="120"/>
      <c r="I56" s="120"/>
      <c r="J56" s="120"/>
      <c r="K56" s="120"/>
      <c r="L56" s="121" t="s">
        <v>365</v>
      </c>
      <c r="M56" s="121"/>
      <c r="N56" s="121" t="s">
        <v>365</v>
      </c>
      <c r="O56" s="121" t="s">
        <v>365</v>
      </c>
      <c r="P56" s="121" t="s">
        <v>365</v>
      </c>
    </row>
    <row r="57" spans="1:16" ht="57.6" x14ac:dyDescent="0.3">
      <c r="A57" s="90" t="s">
        <v>143</v>
      </c>
      <c r="B57" s="11" t="s">
        <v>170</v>
      </c>
      <c r="C57" s="43" t="s">
        <v>299</v>
      </c>
      <c r="D57" s="11" t="s">
        <v>159</v>
      </c>
      <c r="E57" s="11"/>
      <c r="F57" s="11" t="s">
        <v>286</v>
      </c>
      <c r="G57" s="98"/>
      <c r="H57" s="98" t="s">
        <v>287</v>
      </c>
      <c r="I57" s="98"/>
      <c r="J57" s="98"/>
      <c r="K57" s="98"/>
      <c r="L57" s="99"/>
      <c r="M57" s="99" t="s">
        <v>366</v>
      </c>
      <c r="N57" s="99" t="s">
        <v>366</v>
      </c>
      <c r="O57" s="99"/>
      <c r="P57" s="99" t="s">
        <v>366</v>
      </c>
    </row>
    <row r="58" spans="1:16" ht="57.6" x14ac:dyDescent="0.3">
      <c r="A58" s="40" t="s">
        <v>474</v>
      </c>
      <c r="B58" s="11" t="s">
        <v>170</v>
      </c>
      <c r="C58" s="43" t="s">
        <v>299</v>
      </c>
      <c r="D58" s="11" t="s">
        <v>161</v>
      </c>
      <c r="E58" s="11"/>
      <c r="F58" s="11" t="s">
        <v>222</v>
      </c>
      <c r="G58" s="98"/>
      <c r="H58" s="101" t="s">
        <v>223</v>
      </c>
      <c r="I58" s="98"/>
      <c r="J58" s="98"/>
      <c r="K58" s="98"/>
      <c r="L58" s="99"/>
      <c r="M58" s="99" t="s">
        <v>367</v>
      </c>
      <c r="N58" s="99" t="s">
        <v>367</v>
      </c>
      <c r="O58" s="99"/>
      <c r="P58" s="99" t="s">
        <v>367</v>
      </c>
    </row>
    <row r="59" spans="1:16" ht="57.6" x14ac:dyDescent="0.3">
      <c r="A59" s="40" t="s">
        <v>544</v>
      </c>
      <c r="B59" s="11" t="s">
        <v>170</v>
      </c>
      <c r="C59" s="43" t="s">
        <v>299</v>
      </c>
      <c r="D59" s="11" t="s">
        <v>161</v>
      </c>
      <c r="E59" s="11"/>
      <c r="F59" s="11" t="s">
        <v>222</v>
      </c>
      <c r="G59" s="98"/>
      <c r="H59" s="101" t="s">
        <v>224</v>
      </c>
      <c r="I59" s="98"/>
      <c r="J59" s="98"/>
      <c r="K59" s="98"/>
      <c r="L59" s="99"/>
      <c r="M59" s="99" t="s">
        <v>368</v>
      </c>
      <c r="N59" s="99" t="s">
        <v>368</v>
      </c>
      <c r="O59" s="99"/>
      <c r="P59" s="99" t="s">
        <v>368</v>
      </c>
    </row>
    <row r="60" spans="1:16" ht="57.6" x14ac:dyDescent="0.3">
      <c r="A60" s="38" t="s">
        <v>81</v>
      </c>
      <c r="B60" s="11" t="s">
        <v>170</v>
      </c>
      <c r="C60" s="43" t="s">
        <v>299</v>
      </c>
      <c r="D60" s="11" t="s">
        <v>159</v>
      </c>
      <c r="E60" s="11" t="s">
        <v>167</v>
      </c>
      <c r="F60" s="11" t="s">
        <v>189</v>
      </c>
      <c r="G60" s="98" t="s">
        <v>167</v>
      </c>
      <c r="H60" s="98" t="s">
        <v>225</v>
      </c>
      <c r="I60" s="98" t="s">
        <v>173</v>
      </c>
      <c r="J60" s="98" t="s">
        <v>226</v>
      </c>
      <c r="K60" s="98" t="s">
        <v>173</v>
      </c>
      <c r="L60" s="99"/>
      <c r="M60" s="99" t="s">
        <v>227</v>
      </c>
      <c r="N60" s="99" t="s">
        <v>227</v>
      </c>
      <c r="O60" s="99" t="s">
        <v>228</v>
      </c>
      <c r="P60" s="99" t="s">
        <v>227</v>
      </c>
    </row>
    <row r="61" spans="1:16" ht="57.6" x14ac:dyDescent="0.3">
      <c r="A61" s="119" t="s">
        <v>100</v>
      </c>
      <c r="B61" s="118" t="s">
        <v>170</v>
      </c>
      <c r="C61" s="119" t="s">
        <v>299</v>
      </c>
      <c r="D61" s="118" t="s">
        <v>159</v>
      </c>
      <c r="E61" s="118"/>
      <c r="F61" s="118" t="s">
        <v>28</v>
      </c>
      <c r="G61" s="122" t="s">
        <v>173</v>
      </c>
      <c r="H61" s="122" t="s">
        <v>269</v>
      </c>
      <c r="I61" s="120"/>
      <c r="J61" s="123" t="s">
        <v>173</v>
      </c>
      <c r="K61" s="120"/>
      <c r="L61" s="121"/>
      <c r="M61" s="121" t="s">
        <v>369</v>
      </c>
      <c r="N61" s="121" t="s">
        <v>369</v>
      </c>
      <c r="O61" s="121"/>
      <c r="P61" s="121" t="s">
        <v>369</v>
      </c>
    </row>
    <row r="62" spans="1:16" ht="57.6" x14ac:dyDescent="0.3">
      <c r="A62" s="119" t="s">
        <v>102</v>
      </c>
      <c r="B62" s="118" t="s">
        <v>170</v>
      </c>
      <c r="C62" s="119" t="s">
        <v>299</v>
      </c>
      <c r="D62" s="118" t="s">
        <v>159</v>
      </c>
      <c r="E62" s="118"/>
      <c r="F62" s="118" t="s">
        <v>28</v>
      </c>
      <c r="G62" s="123" t="s">
        <v>173</v>
      </c>
      <c r="H62" s="122" t="s">
        <v>270</v>
      </c>
      <c r="I62" s="120"/>
      <c r="J62" s="123" t="s">
        <v>173</v>
      </c>
      <c r="K62" s="120"/>
      <c r="L62" s="121"/>
      <c r="M62" s="121" t="s">
        <v>370</v>
      </c>
      <c r="N62" s="121" t="s">
        <v>370</v>
      </c>
      <c r="O62" s="121"/>
      <c r="P62" s="121" t="s">
        <v>370</v>
      </c>
    </row>
    <row r="63" spans="1:16" ht="57.6" x14ac:dyDescent="0.3">
      <c r="A63" s="38" t="s">
        <v>82</v>
      </c>
      <c r="B63" s="11" t="s">
        <v>170</v>
      </c>
      <c r="C63" s="43" t="s">
        <v>299</v>
      </c>
      <c r="D63" s="11" t="s">
        <v>159</v>
      </c>
      <c r="E63" s="11" t="s">
        <v>167</v>
      </c>
      <c r="F63" s="11" t="s">
        <v>189</v>
      </c>
      <c r="G63" s="98" t="s">
        <v>167</v>
      </c>
      <c r="H63" s="98" t="s">
        <v>229</v>
      </c>
      <c r="I63" s="98" t="s">
        <v>173</v>
      </c>
      <c r="J63" s="124" t="s">
        <v>230</v>
      </c>
      <c r="K63" s="98" t="s">
        <v>173</v>
      </c>
      <c r="L63" s="99"/>
      <c r="M63" s="99" t="s">
        <v>231</v>
      </c>
      <c r="N63" s="99" t="s">
        <v>231</v>
      </c>
      <c r="O63" s="125" t="s">
        <v>232</v>
      </c>
      <c r="P63" s="99" t="s">
        <v>231</v>
      </c>
    </row>
    <row r="64" spans="1:16" ht="57.6" x14ac:dyDescent="0.3">
      <c r="A64" s="10" t="s">
        <v>88</v>
      </c>
      <c r="B64" s="11" t="s">
        <v>170</v>
      </c>
      <c r="C64" s="43" t="s">
        <v>299</v>
      </c>
      <c r="D64" s="11" t="s">
        <v>161</v>
      </c>
      <c r="E64" s="11"/>
      <c r="F64" s="11" t="s">
        <v>274</v>
      </c>
      <c r="G64" s="98"/>
      <c r="H64" s="98"/>
      <c r="I64" s="101" t="s">
        <v>275</v>
      </c>
      <c r="J64" s="98"/>
      <c r="K64" s="98"/>
      <c r="L64" s="99"/>
      <c r="M64" s="126"/>
      <c r="N64" s="99" t="s">
        <v>371</v>
      </c>
      <c r="O64" s="127"/>
      <c r="P64" s="99"/>
    </row>
    <row r="65" spans="1:16" ht="288" x14ac:dyDescent="0.3">
      <c r="A65" s="128" t="s">
        <v>288</v>
      </c>
      <c r="B65" s="129" t="s">
        <v>164</v>
      </c>
      <c r="C65" s="130" t="s">
        <v>372</v>
      </c>
      <c r="D65" s="129" t="s">
        <v>162</v>
      </c>
      <c r="E65" s="129" t="s">
        <v>167</v>
      </c>
      <c r="F65" s="129" t="s">
        <v>43</v>
      </c>
      <c r="G65" s="98"/>
      <c r="H65" s="98"/>
      <c r="I65" s="98"/>
      <c r="J65" s="98"/>
      <c r="K65" s="98"/>
      <c r="L65" s="99"/>
      <c r="M65" s="99"/>
      <c r="N65" s="100"/>
      <c r="O65" s="99" t="s">
        <v>373</v>
      </c>
      <c r="P65" s="99"/>
    </row>
    <row r="66" spans="1:16" ht="244.8" x14ac:dyDescent="0.3">
      <c r="A66" s="128" t="s">
        <v>289</v>
      </c>
      <c r="B66" s="129" t="s">
        <v>164</v>
      </c>
      <c r="C66" s="128" t="s">
        <v>374</v>
      </c>
      <c r="D66" s="129" t="s">
        <v>162</v>
      </c>
      <c r="E66" s="129" t="s">
        <v>167</v>
      </c>
      <c r="F66" s="129" t="s">
        <v>43</v>
      </c>
      <c r="G66" s="98"/>
      <c r="H66" s="98"/>
      <c r="I66" s="98"/>
      <c r="J66" s="98"/>
      <c r="K66" s="98"/>
      <c r="L66" s="99"/>
      <c r="M66" s="99"/>
      <c r="N66" s="99"/>
      <c r="O66" s="99" t="s">
        <v>375</v>
      </c>
      <c r="P66" s="99"/>
    </row>
    <row r="67" spans="1:16" ht="288" x14ac:dyDescent="0.3">
      <c r="A67" s="128" t="s">
        <v>290</v>
      </c>
      <c r="B67" s="129" t="s">
        <v>164</v>
      </c>
      <c r="C67" s="130" t="s">
        <v>376</v>
      </c>
      <c r="D67" s="129" t="s">
        <v>162</v>
      </c>
      <c r="E67" s="129" t="s">
        <v>167</v>
      </c>
      <c r="F67" s="129" t="s">
        <v>291</v>
      </c>
      <c r="G67" s="98"/>
      <c r="H67" s="98"/>
      <c r="I67" s="98"/>
      <c r="J67" s="98"/>
      <c r="K67" s="98"/>
      <c r="L67" s="99"/>
      <c r="M67" s="99"/>
      <c r="N67" s="99"/>
      <c r="O67" s="99" t="s">
        <v>377</v>
      </c>
      <c r="P67" s="99"/>
    </row>
    <row r="68" spans="1:16" x14ac:dyDescent="0.3">
      <c r="A68" t="s">
        <v>378</v>
      </c>
      <c r="B68" s="129" t="s">
        <v>164</v>
      </c>
      <c r="C68" s="16"/>
      <c r="D68" s="15"/>
      <c r="E68" s="15"/>
      <c r="F68" s="129" t="s">
        <v>291</v>
      </c>
      <c r="G68" s="131"/>
      <c r="H68" s="131"/>
      <c r="I68" s="131"/>
      <c r="J68" s="131"/>
      <c r="K68" s="131"/>
      <c r="L68" s="100"/>
      <c r="M68" s="100"/>
      <c r="N68" s="100"/>
      <c r="O68" s="100"/>
      <c r="P68" s="100"/>
    </row>
    <row r="69" spans="1:16" x14ac:dyDescent="0.3">
      <c r="A69" s="57"/>
      <c r="B69" s="15"/>
      <c r="C69" s="16"/>
      <c r="D69" s="15"/>
      <c r="E69" s="15"/>
      <c r="F69" s="15"/>
      <c r="G69" s="131"/>
      <c r="H69" s="131"/>
      <c r="I69" s="131"/>
      <c r="J69" s="131"/>
      <c r="K69" s="131"/>
      <c r="L69" s="100"/>
      <c r="M69" s="100"/>
      <c r="N69" s="100"/>
      <c r="O69" s="100"/>
      <c r="P69" s="100"/>
    </row>
    <row r="70" spans="1:16" x14ac:dyDescent="0.3">
      <c r="A70" s="57"/>
      <c r="B70" s="15"/>
      <c r="C70" s="16"/>
      <c r="D70" s="15"/>
      <c r="E70" s="15"/>
      <c r="F70" s="15"/>
      <c r="G70" s="131"/>
      <c r="H70" s="131"/>
      <c r="I70" s="131"/>
      <c r="J70" s="131"/>
      <c r="K70" s="131"/>
      <c r="L70" s="100"/>
      <c r="M70" s="100"/>
      <c r="N70" s="100"/>
      <c r="O70" s="100"/>
      <c r="P70" s="100"/>
    </row>
    <row r="71" spans="1:16" x14ac:dyDescent="0.3">
      <c r="A71" s="57"/>
      <c r="B71" s="15"/>
      <c r="C71" s="16"/>
      <c r="D71" s="15"/>
      <c r="E71" s="15"/>
      <c r="F71" s="15"/>
      <c r="G71" s="131"/>
      <c r="H71" s="131"/>
      <c r="I71" s="131"/>
      <c r="J71" s="131"/>
      <c r="K71" s="131"/>
      <c r="L71" s="100"/>
      <c r="M71" s="100"/>
      <c r="N71" s="100"/>
      <c r="O71" s="100"/>
      <c r="P71" s="100"/>
    </row>
    <row r="72" spans="1:16" x14ac:dyDescent="0.3">
      <c r="A72" s="57"/>
      <c r="B72" s="15"/>
      <c r="C72" s="16"/>
      <c r="D72" s="15"/>
      <c r="E72" s="15"/>
      <c r="F72" s="15"/>
      <c r="G72" s="131"/>
      <c r="H72" s="131"/>
      <c r="I72" s="131"/>
      <c r="J72" s="131"/>
      <c r="K72" s="131"/>
      <c r="L72" s="100"/>
      <c r="M72" s="100"/>
      <c r="N72" s="100"/>
      <c r="O72" s="100"/>
      <c r="P72" s="100"/>
    </row>
    <row r="73" spans="1:16" x14ac:dyDescent="0.3">
      <c r="A73" s="57"/>
      <c r="B73" s="15"/>
      <c r="C73" s="16"/>
      <c r="D73" s="15"/>
      <c r="E73" s="15"/>
      <c r="F73" s="15"/>
      <c r="G73" s="131"/>
      <c r="H73" s="131"/>
      <c r="I73" s="131"/>
      <c r="J73" s="131"/>
      <c r="K73" s="131"/>
      <c r="L73" s="100"/>
      <c r="M73" s="100"/>
      <c r="N73" s="100"/>
      <c r="O73" s="100"/>
      <c r="P73" s="100"/>
    </row>
    <row r="74" spans="1:16" x14ac:dyDescent="0.3">
      <c r="A74" s="57"/>
      <c r="B74" s="15"/>
      <c r="C74" s="16"/>
      <c r="D74" s="15"/>
      <c r="E74" s="15"/>
      <c r="F74" s="15"/>
      <c r="G74" s="131"/>
      <c r="H74" s="131"/>
      <c r="I74" s="131"/>
      <c r="J74" s="131"/>
      <c r="K74" s="131"/>
      <c r="L74" s="100"/>
      <c r="M74" s="100"/>
      <c r="N74" s="100"/>
      <c r="O74" s="100"/>
      <c r="P74" s="100"/>
    </row>
    <row r="75" spans="1:16" x14ac:dyDescent="0.3">
      <c r="A75" s="57"/>
      <c r="B75" s="15"/>
      <c r="C75" s="16"/>
      <c r="D75" s="15"/>
      <c r="E75" s="15"/>
      <c r="F75" s="15"/>
      <c r="G75" s="131"/>
      <c r="H75" s="131"/>
      <c r="I75" s="131"/>
      <c r="J75" s="131"/>
      <c r="K75" s="131"/>
      <c r="L75" s="100"/>
      <c r="M75" s="100"/>
      <c r="N75" s="100"/>
      <c r="O75" s="100"/>
      <c r="P75" s="100"/>
    </row>
    <row r="76" spans="1:16" x14ac:dyDescent="0.3">
      <c r="A76" s="57"/>
      <c r="B76" s="15"/>
      <c r="C76" s="16"/>
      <c r="D76" s="15"/>
      <c r="E76" s="15"/>
      <c r="F76" s="15"/>
      <c r="G76" s="131"/>
      <c r="H76" s="131"/>
      <c r="I76" s="131"/>
      <c r="J76" s="131"/>
      <c r="K76" s="131"/>
      <c r="L76" s="100"/>
      <c r="M76" s="100"/>
      <c r="N76" s="100"/>
      <c r="O76" s="100"/>
      <c r="P76" s="100"/>
    </row>
    <row r="77" spans="1:16" x14ac:dyDescent="0.3">
      <c r="A77" s="57"/>
      <c r="B77" s="15"/>
      <c r="C77" s="16"/>
      <c r="D77" s="15"/>
      <c r="E77" s="15"/>
      <c r="F77" s="15"/>
      <c r="G77" s="131"/>
      <c r="H77" s="131"/>
      <c r="I77" s="131"/>
      <c r="J77" s="131"/>
      <c r="K77" s="131"/>
      <c r="L77" s="100"/>
      <c r="M77" s="100"/>
      <c r="N77" s="100"/>
      <c r="O77" s="100"/>
      <c r="P77" s="100"/>
    </row>
    <row r="78" spans="1:16" x14ac:dyDescent="0.3">
      <c r="A78" s="57"/>
      <c r="B78" s="15"/>
      <c r="C78" s="16"/>
      <c r="D78" s="15"/>
      <c r="E78" s="15"/>
      <c r="F78" s="15"/>
      <c r="G78" s="131"/>
      <c r="H78" s="131"/>
      <c r="I78" s="131"/>
      <c r="J78" s="131"/>
      <c r="K78" s="131"/>
      <c r="L78" s="100"/>
      <c r="M78" s="100"/>
      <c r="N78" s="100"/>
      <c r="O78" s="100"/>
      <c r="P78" s="100"/>
    </row>
    <row r="79" spans="1:16" x14ac:dyDescent="0.3">
      <c r="A79" s="57"/>
      <c r="B79" s="15"/>
      <c r="C79" s="16"/>
      <c r="D79" s="15"/>
      <c r="E79" s="15"/>
      <c r="F79" s="15"/>
      <c r="G79" s="131"/>
      <c r="H79" s="131"/>
      <c r="I79" s="131"/>
      <c r="J79" s="131"/>
      <c r="K79" s="131"/>
      <c r="L79" s="100"/>
      <c r="M79" s="100"/>
      <c r="N79" s="100"/>
      <c r="O79" s="100"/>
      <c r="P79" s="100"/>
    </row>
    <row r="80" spans="1:16" x14ac:dyDescent="0.3">
      <c r="A80" s="57"/>
      <c r="B80" s="15"/>
      <c r="C80" s="16"/>
      <c r="D80" s="15"/>
      <c r="E80" s="15"/>
      <c r="F80" s="15"/>
      <c r="G80" s="131"/>
      <c r="H80" s="131"/>
      <c r="I80" s="131"/>
      <c r="J80" s="131"/>
      <c r="K80" s="131"/>
      <c r="L80" s="100"/>
      <c r="M80" s="100"/>
      <c r="N80" s="100"/>
      <c r="O80" s="100"/>
      <c r="P80" s="100"/>
    </row>
    <row r="81" spans="1:16" x14ac:dyDescent="0.3">
      <c r="A81" s="57"/>
      <c r="B81" s="15"/>
      <c r="C81" s="16"/>
      <c r="D81" s="15"/>
      <c r="E81" s="15"/>
      <c r="F81" s="15"/>
      <c r="G81" s="131"/>
      <c r="H81" s="131"/>
      <c r="I81" s="131"/>
      <c r="J81" s="131"/>
      <c r="K81" s="131"/>
      <c r="L81" s="100"/>
      <c r="M81" s="100"/>
      <c r="N81" s="100"/>
      <c r="O81" s="100"/>
      <c r="P81" s="100"/>
    </row>
    <row r="82" spans="1:16" x14ac:dyDescent="0.3">
      <c r="A82" s="57"/>
      <c r="B82" s="15"/>
      <c r="C82" s="16"/>
      <c r="D82" s="15"/>
      <c r="E82" s="15"/>
      <c r="F82" s="15"/>
      <c r="G82" s="131"/>
      <c r="H82" s="131"/>
      <c r="I82" s="131"/>
      <c r="J82" s="131"/>
      <c r="K82" s="131"/>
      <c r="L82" s="100"/>
      <c r="M82" s="100"/>
      <c r="N82" s="100"/>
      <c r="O82" s="100"/>
      <c r="P82" s="100"/>
    </row>
    <row r="83" spans="1:16" x14ac:dyDescent="0.3">
      <c r="A83" s="57"/>
      <c r="B83" s="15"/>
      <c r="C83" s="16"/>
      <c r="D83" s="15"/>
      <c r="E83" s="15"/>
      <c r="F83" s="15"/>
      <c r="G83" s="131"/>
      <c r="H83" s="131"/>
      <c r="I83" s="131"/>
      <c r="J83" s="131"/>
      <c r="K83" s="131"/>
      <c r="L83" s="100"/>
      <c r="M83" s="100"/>
      <c r="N83" s="100"/>
      <c r="O83" s="100"/>
      <c r="P83" s="100"/>
    </row>
    <row r="84" spans="1:16" x14ac:dyDescent="0.3">
      <c r="A84" s="57"/>
      <c r="B84" s="15"/>
      <c r="C84" s="16"/>
      <c r="D84" s="15"/>
      <c r="E84" s="15"/>
      <c r="F84" s="15"/>
      <c r="G84" s="131"/>
      <c r="H84" s="131"/>
      <c r="I84" s="131"/>
      <c r="J84" s="131"/>
      <c r="K84" s="131"/>
      <c r="L84" s="100"/>
      <c r="M84" s="100"/>
      <c r="N84" s="100"/>
      <c r="O84" s="100"/>
      <c r="P84" s="100"/>
    </row>
    <row r="85" spans="1:16" x14ac:dyDescent="0.3">
      <c r="A85" s="57"/>
      <c r="B85" s="15"/>
      <c r="C85" s="16"/>
      <c r="D85" s="15"/>
      <c r="E85" s="15"/>
      <c r="F85" s="15"/>
      <c r="G85" s="131"/>
      <c r="H85" s="131"/>
      <c r="I85" s="131"/>
      <c r="J85" s="131"/>
      <c r="K85" s="131"/>
      <c r="L85" s="100"/>
      <c r="M85" s="100"/>
      <c r="N85" s="100"/>
      <c r="O85" s="100"/>
      <c r="P85" s="100"/>
    </row>
    <row r="86" spans="1:16" x14ac:dyDescent="0.3">
      <c r="A86" s="57"/>
      <c r="B86" s="15"/>
      <c r="C86" s="16"/>
      <c r="D86" s="15"/>
      <c r="E86" s="15"/>
      <c r="F86" s="15"/>
      <c r="G86" s="131"/>
      <c r="H86" s="131"/>
      <c r="I86" s="131"/>
      <c r="J86" s="131"/>
      <c r="K86" s="131"/>
      <c r="L86" s="100"/>
      <c r="M86" s="100"/>
      <c r="N86" s="100"/>
      <c r="O86" s="100"/>
      <c r="P86" s="100"/>
    </row>
    <row r="87" spans="1:16" x14ac:dyDescent="0.3">
      <c r="A87" s="57"/>
      <c r="B87" s="15"/>
      <c r="C87" s="16"/>
      <c r="D87" s="15"/>
      <c r="E87" s="15"/>
      <c r="F87" s="15"/>
      <c r="G87" s="131"/>
      <c r="H87" s="131"/>
      <c r="I87" s="131"/>
      <c r="J87" s="131"/>
      <c r="K87" s="131"/>
      <c r="L87" s="100"/>
      <c r="M87" s="100"/>
      <c r="N87" s="100"/>
      <c r="O87" s="100"/>
      <c r="P87" s="100"/>
    </row>
    <row r="88" spans="1:16" x14ac:dyDescent="0.3">
      <c r="A88" s="57"/>
      <c r="B88" s="15"/>
      <c r="C88" s="16"/>
      <c r="D88" s="15"/>
      <c r="E88" s="15"/>
      <c r="F88" s="15"/>
      <c r="G88" s="131"/>
      <c r="H88" s="131"/>
      <c r="I88" s="131"/>
      <c r="J88" s="131"/>
      <c r="K88" s="131"/>
      <c r="L88" s="100"/>
      <c r="M88" s="100"/>
      <c r="N88" s="100"/>
      <c r="O88" s="100"/>
      <c r="P88" s="100"/>
    </row>
    <row r="89" spans="1:16" x14ac:dyDescent="0.3">
      <c r="A89" s="57"/>
      <c r="B89" s="15"/>
      <c r="C89" s="16"/>
      <c r="D89" s="15"/>
      <c r="E89" s="15"/>
      <c r="F89" s="15"/>
      <c r="G89" s="131"/>
      <c r="H89" s="131"/>
      <c r="I89" s="131"/>
      <c r="J89" s="131"/>
      <c r="K89" s="131"/>
      <c r="L89" s="100"/>
      <c r="M89" s="100"/>
      <c r="N89" s="100"/>
      <c r="O89" s="100"/>
      <c r="P89" s="100"/>
    </row>
    <row r="90" spans="1:16" x14ac:dyDescent="0.3">
      <c r="A90" s="57"/>
      <c r="B90" s="15"/>
      <c r="C90" s="16"/>
      <c r="D90" s="15"/>
      <c r="E90" s="15"/>
      <c r="F90" s="15"/>
      <c r="G90" s="131"/>
      <c r="H90" s="131"/>
      <c r="I90" s="131"/>
      <c r="J90" s="131"/>
      <c r="K90" s="131"/>
      <c r="L90" s="100"/>
      <c r="M90" s="100"/>
      <c r="N90" s="100"/>
      <c r="O90" s="100"/>
      <c r="P90" s="100"/>
    </row>
    <row r="91" spans="1:16" x14ac:dyDescent="0.3">
      <c r="A91" s="57"/>
      <c r="B91" s="15"/>
      <c r="C91" s="16"/>
      <c r="D91" s="15"/>
      <c r="E91" s="15"/>
      <c r="F91" s="15"/>
      <c r="G91" s="131"/>
      <c r="H91" s="131"/>
      <c r="I91" s="131"/>
      <c r="J91" s="131"/>
      <c r="K91" s="131"/>
      <c r="L91" s="100"/>
      <c r="M91" s="100"/>
      <c r="N91" s="100"/>
      <c r="O91" s="100"/>
      <c r="P91" s="100"/>
    </row>
    <row r="92" spans="1:16" x14ac:dyDescent="0.3">
      <c r="A92" s="57"/>
      <c r="B92" s="15"/>
      <c r="C92" s="16"/>
      <c r="D92" s="15"/>
      <c r="E92" s="15"/>
      <c r="F92" s="15"/>
      <c r="G92" s="131"/>
      <c r="H92" s="131"/>
      <c r="I92" s="131"/>
      <c r="J92" s="131"/>
      <c r="K92" s="131"/>
      <c r="L92" s="100"/>
      <c r="M92" s="100"/>
      <c r="N92" s="100"/>
      <c r="O92" s="100"/>
      <c r="P92" s="100"/>
    </row>
    <row r="93" spans="1:16" x14ac:dyDescent="0.3">
      <c r="A93" s="57"/>
      <c r="B93" s="15"/>
      <c r="C93" s="16"/>
      <c r="D93" s="15"/>
      <c r="E93" s="15"/>
      <c r="F93" s="15"/>
      <c r="G93" s="131"/>
      <c r="H93" s="131"/>
      <c r="I93" s="131"/>
      <c r="J93" s="131"/>
      <c r="K93" s="131"/>
      <c r="L93" s="100"/>
      <c r="M93" s="100"/>
      <c r="N93" s="100"/>
      <c r="O93" s="100"/>
      <c r="P93" s="100"/>
    </row>
    <row r="94" spans="1:16" x14ac:dyDescent="0.3">
      <c r="A94" s="57"/>
      <c r="B94" s="15"/>
      <c r="C94" s="16"/>
      <c r="D94" s="15"/>
      <c r="E94" s="15"/>
      <c r="F94" s="15"/>
      <c r="G94" s="131"/>
      <c r="H94" s="131"/>
      <c r="I94" s="131"/>
      <c r="J94" s="131"/>
      <c r="K94" s="131"/>
      <c r="L94" s="100"/>
      <c r="M94" s="100"/>
      <c r="N94" s="100"/>
      <c r="O94" s="100"/>
      <c r="P94" s="100"/>
    </row>
    <row r="95" spans="1:16" x14ac:dyDescent="0.3">
      <c r="A95" s="57"/>
      <c r="B95" s="15"/>
      <c r="C95" s="16"/>
      <c r="D95" s="15"/>
      <c r="E95" s="15"/>
      <c r="F95" s="15"/>
      <c r="G95" s="131"/>
      <c r="H95" s="131"/>
      <c r="I95" s="131"/>
      <c r="J95" s="131"/>
      <c r="K95" s="131"/>
      <c r="L95" s="100"/>
      <c r="M95" s="100"/>
      <c r="N95" s="100"/>
      <c r="O95" s="100"/>
      <c r="P95" s="100"/>
    </row>
    <row r="96" spans="1:16" x14ac:dyDescent="0.3">
      <c r="A96" s="57"/>
      <c r="B96" s="15"/>
      <c r="C96" s="16"/>
      <c r="D96" s="15"/>
      <c r="E96" s="15"/>
      <c r="F96" s="15"/>
      <c r="G96" s="131"/>
      <c r="H96" s="131"/>
      <c r="I96" s="131"/>
      <c r="J96" s="131"/>
      <c r="K96" s="131"/>
      <c r="L96" s="100"/>
      <c r="M96" s="100"/>
      <c r="N96" s="100"/>
      <c r="O96" s="100"/>
      <c r="P96" s="100"/>
    </row>
    <row r="97" spans="1:16" x14ac:dyDescent="0.3">
      <c r="A97" s="57"/>
      <c r="B97" s="15"/>
      <c r="C97" s="16"/>
      <c r="D97" s="15"/>
      <c r="E97" s="15"/>
      <c r="F97" s="15"/>
      <c r="G97" s="131"/>
      <c r="H97" s="131"/>
      <c r="I97" s="131"/>
      <c r="J97" s="131"/>
      <c r="K97" s="131"/>
      <c r="L97" s="100"/>
      <c r="M97" s="100"/>
      <c r="N97" s="100"/>
      <c r="O97" s="100"/>
      <c r="P97" s="100"/>
    </row>
    <row r="98" spans="1:16" x14ac:dyDescent="0.3">
      <c r="A98" s="57"/>
      <c r="B98" s="15"/>
      <c r="C98" s="16"/>
      <c r="D98" s="15"/>
      <c r="E98" s="15"/>
      <c r="F98" s="15"/>
      <c r="G98" s="131"/>
      <c r="H98" s="131"/>
      <c r="I98" s="131"/>
      <c r="J98" s="131"/>
      <c r="K98" s="131"/>
      <c r="L98" s="100"/>
      <c r="M98" s="100"/>
      <c r="N98" s="100"/>
      <c r="O98" s="100"/>
      <c r="P98" s="100"/>
    </row>
    <row r="99" spans="1:16" x14ac:dyDescent="0.3">
      <c r="A99" s="57"/>
      <c r="B99" s="15"/>
      <c r="C99" s="16"/>
      <c r="D99" s="15"/>
      <c r="E99" s="15"/>
      <c r="F99" s="15"/>
      <c r="G99" s="131"/>
      <c r="H99" s="131"/>
      <c r="I99" s="131"/>
      <c r="J99" s="131"/>
      <c r="K99" s="131"/>
      <c r="L99" s="100"/>
      <c r="M99" s="100"/>
      <c r="N99" s="100"/>
      <c r="O99" s="100"/>
      <c r="P99" s="100"/>
    </row>
    <row r="100" spans="1:16" x14ac:dyDescent="0.3">
      <c r="A100" s="57"/>
      <c r="B100" s="15"/>
      <c r="C100" s="16"/>
      <c r="D100" s="15"/>
      <c r="E100" s="15"/>
      <c r="F100" s="15"/>
      <c r="G100" s="131"/>
      <c r="H100" s="131"/>
      <c r="I100" s="131"/>
      <c r="J100" s="131"/>
      <c r="K100" s="131"/>
      <c r="L100" s="100"/>
      <c r="M100" s="100"/>
      <c r="N100" s="100"/>
      <c r="O100" s="100"/>
      <c r="P100" s="100"/>
    </row>
    <row r="101" spans="1:16" x14ac:dyDescent="0.3">
      <c r="A101" s="57"/>
      <c r="B101" s="15"/>
      <c r="C101" s="16"/>
      <c r="D101" s="15"/>
      <c r="E101" s="15"/>
      <c r="F101" s="15"/>
      <c r="G101" s="131"/>
      <c r="H101" s="131"/>
      <c r="I101" s="131"/>
      <c r="J101" s="131"/>
      <c r="K101" s="131"/>
      <c r="L101" s="100"/>
      <c r="M101" s="100"/>
      <c r="N101" s="100"/>
      <c r="O101" s="100"/>
      <c r="P101" s="100"/>
    </row>
    <row r="102" spans="1:16" x14ac:dyDescent="0.3">
      <c r="A102" s="57"/>
      <c r="B102" s="15"/>
      <c r="C102" s="16"/>
      <c r="D102" s="15"/>
      <c r="E102" s="15"/>
      <c r="F102" s="15"/>
      <c r="G102" s="131"/>
      <c r="H102" s="131"/>
      <c r="I102" s="131"/>
      <c r="J102" s="131"/>
      <c r="K102" s="131"/>
      <c r="L102" s="100"/>
      <c r="M102" s="100"/>
      <c r="N102" s="100"/>
      <c r="O102" s="100"/>
      <c r="P102" s="100"/>
    </row>
    <row r="103" spans="1:16" x14ac:dyDescent="0.3">
      <c r="A103" s="57"/>
      <c r="B103" s="15"/>
      <c r="C103" s="16"/>
      <c r="D103" s="15"/>
      <c r="E103" s="15"/>
      <c r="F103" s="15"/>
      <c r="G103" s="131"/>
      <c r="H103" s="131"/>
      <c r="I103" s="131"/>
      <c r="J103" s="131"/>
      <c r="K103" s="131"/>
      <c r="L103" s="100"/>
      <c r="M103" s="100"/>
      <c r="N103" s="100"/>
      <c r="O103" s="100"/>
      <c r="P103" s="100"/>
    </row>
    <row r="104" spans="1:16" x14ac:dyDescent="0.3">
      <c r="A104" s="57"/>
      <c r="B104" s="15"/>
      <c r="C104" s="16"/>
      <c r="D104" s="15"/>
      <c r="E104" s="15"/>
      <c r="F104" s="15"/>
      <c r="G104" s="131"/>
      <c r="H104" s="131"/>
      <c r="I104" s="131"/>
      <c r="J104" s="131"/>
      <c r="K104" s="131"/>
      <c r="L104" s="100"/>
      <c r="M104" s="100"/>
      <c r="N104" s="100"/>
      <c r="O104" s="100"/>
      <c r="P104" s="100"/>
    </row>
    <row r="105" spans="1:16" x14ac:dyDescent="0.3">
      <c r="A105" s="57"/>
      <c r="B105" s="15"/>
      <c r="C105" s="16"/>
      <c r="D105" s="15"/>
      <c r="E105" s="15"/>
      <c r="F105" s="15"/>
      <c r="G105" s="131"/>
      <c r="H105" s="131"/>
      <c r="I105" s="131"/>
      <c r="J105" s="131"/>
      <c r="K105" s="131"/>
      <c r="L105" s="100"/>
      <c r="M105" s="100"/>
      <c r="N105" s="100"/>
      <c r="O105" s="100"/>
      <c r="P105" s="100"/>
    </row>
    <row r="106" spans="1:16" x14ac:dyDescent="0.3">
      <c r="A106" s="57"/>
      <c r="B106" s="15"/>
      <c r="C106" s="16"/>
      <c r="D106" s="15"/>
      <c r="E106" s="15"/>
      <c r="F106" s="15"/>
      <c r="G106" s="131"/>
      <c r="H106" s="131"/>
      <c r="I106" s="131"/>
      <c r="J106" s="131"/>
      <c r="K106" s="131"/>
      <c r="L106" s="100"/>
      <c r="M106" s="100"/>
      <c r="N106" s="100"/>
      <c r="O106" s="100"/>
      <c r="P106" s="100"/>
    </row>
    <row r="107" spans="1:16" x14ac:dyDescent="0.3">
      <c r="A107" s="57"/>
      <c r="B107" s="15"/>
      <c r="C107" s="16"/>
      <c r="D107" s="15"/>
      <c r="E107" s="15"/>
      <c r="F107" s="15"/>
      <c r="G107" s="131"/>
      <c r="H107" s="131"/>
      <c r="I107" s="131"/>
      <c r="J107" s="131"/>
      <c r="K107" s="131"/>
      <c r="L107" s="100"/>
      <c r="M107" s="100"/>
      <c r="N107" s="100"/>
      <c r="O107" s="100"/>
      <c r="P107" s="100"/>
    </row>
    <row r="108" spans="1:16" x14ac:dyDescent="0.3">
      <c r="A108" s="57"/>
      <c r="B108" s="15"/>
      <c r="C108" s="16"/>
      <c r="D108" s="15"/>
      <c r="E108" s="15"/>
      <c r="F108" s="15"/>
      <c r="G108" s="131"/>
      <c r="H108" s="131"/>
      <c r="I108" s="131"/>
      <c r="J108" s="131"/>
      <c r="K108" s="131"/>
      <c r="L108" s="100"/>
      <c r="M108" s="100"/>
      <c r="N108" s="100"/>
      <c r="O108" s="100"/>
      <c r="P108" s="100"/>
    </row>
    <row r="109" spans="1:16" x14ac:dyDescent="0.3">
      <c r="A109" s="57"/>
      <c r="B109" s="15"/>
      <c r="C109" s="16"/>
      <c r="D109" s="15"/>
      <c r="E109" s="15"/>
      <c r="F109" s="15"/>
      <c r="G109" s="131"/>
      <c r="H109" s="131"/>
      <c r="I109" s="131"/>
      <c r="J109" s="131"/>
      <c r="K109" s="131"/>
      <c r="L109" s="100"/>
      <c r="M109" s="100"/>
      <c r="N109" s="100"/>
      <c r="O109" s="100"/>
      <c r="P109" s="100"/>
    </row>
    <row r="110" spans="1:16" x14ac:dyDescent="0.3">
      <c r="A110" s="57"/>
      <c r="B110" s="15"/>
      <c r="C110" s="16"/>
      <c r="D110" s="15"/>
      <c r="E110" s="15"/>
      <c r="F110" s="15"/>
      <c r="G110" s="131"/>
      <c r="H110" s="131"/>
      <c r="I110" s="131"/>
      <c r="J110" s="131"/>
      <c r="K110" s="131"/>
      <c r="L110" s="100"/>
      <c r="M110" s="100"/>
      <c r="N110" s="100"/>
      <c r="O110" s="100"/>
      <c r="P110" s="100"/>
    </row>
    <row r="111" spans="1:16" x14ac:dyDescent="0.3">
      <c r="A111" s="57"/>
      <c r="B111" s="15"/>
      <c r="C111" s="16"/>
      <c r="D111" s="15"/>
      <c r="E111" s="15"/>
      <c r="F111" s="15"/>
      <c r="G111" s="131"/>
      <c r="H111" s="131"/>
      <c r="I111" s="131"/>
      <c r="J111" s="131"/>
      <c r="K111" s="131"/>
      <c r="L111" s="100"/>
      <c r="M111" s="100"/>
      <c r="N111" s="100"/>
      <c r="O111" s="100"/>
      <c r="P111" s="100"/>
    </row>
    <row r="112" spans="1:16" x14ac:dyDescent="0.3">
      <c r="A112" s="57"/>
      <c r="B112" s="15"/>
      <c r="C112" s="16"/>
      <c r="D112" s="15"/>
      <c r="E112" s="15"/>
      <c r="F112" s="15"/>
      <c r="G112" s="131"/>
      <c r="H112" s="131"/>
      <c r="I112" s="131"/>
      <c r="J112" s="131"/>
      <c r="K112" s="131"/>
      <c r="L112" s="100"/>
      <c r="M112" s="100"/>
      <c r="N112" s="100"/>
      <c r="O112" s="100"/>
      <c r="P112" s="100"/>
    </row>
    <row r="113" spans="1:16" x14ac:dyDescent="0.3">
      <c r="A113" s="57"/>
      <c r="B113" s="15"/>
      <c r="C113" s="16"/>
      <c r="D113" s="15"/>
      <c r="E113" s="15"/>
      <c r="F113" s="15"/>
      <c r="G113" s="131"/>
      <c r="H113" s="131"/>
      <c r="I113" s="131"/>
      <c r="J113" s="131"/>
      <c r="K113" s="131"/>
      <c r="L113" s="100"/>
      <c r="M113" s="100"/>
      <c r="N113" s="100"/>
      <c r="O113" s="100"/>
      <c r="P113" s="100"/>
    </row>
    <row r="114" spans="1:16" x14ac:dyDescent="0.3">
      <c r="A114" s="57"/>
      <c r="B114" s="15"/>
      <c r="C114" s="16"/>
      <c r="D114" s="15"/>
      <c r="E114" s="15"/>
      <c r="F114" s="15"/>
      <c r="G114" s="131"/>
      <c r="H114" s="131"/>
      <c r="I114" s="131"/>
      <c r="J114" s="131"/>
      <c r="K114" s="131"/>
      <c r="L114" s="100"/>
      <c r="M114" s="100"/>
      <c r="N114" s="100"/>
      <c r="O114" s="100"/>
      <c r="P114" s="100"/>
    </row>
  </sheetData>
  <mergeCells count="2">
    <mergeCell ref="G1:K1"/>
    <mergeCell ref="L1:P1"/>
  </mergeCells>
  <dataValidations count="3">
    <dataValidation type="list" allowBlank="1" showInputMessage="1" showErrorMessage="1" sqref="D65:D83" xr:uid="{7B6E6719-A307-4BDE-A8CA-9D31761852C4}">
      <formula1>$AE$6:$AE$12</formula1>
    </dataValidation>
    <dataValidation type="list" allowBlank="1" showInputMessage="1" showErrorMessage="1" sqref="D3:D64" xr:uid="{B27A879D-2612-44A5-B542-3F032D3C1E53}">
      <formula1>$C$251:$C$256</formula1>
    </dataValidation>
    <dataValidation type="list" allowBlank="1" showInputMessage="1" showErrorMessage="1" sqref="B3:B114" xr:uid="{92638BB6-E2F7-4608-8B87-B2B594E51BAD}">
      <formula1>$AI$6:$AI$7</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4824D-2BDE-4430-B0C5-333B1CBF1304}">
  <dimension ref="A1:H78"/>
  <sheetViews>
    <sheetView topLeftCell="A63" workbookViewId="0">
      <selection activeCell="A67" sqref="A67"/>
    </sheetView>
  </sheetViews>
  <sheetFormatPr defaultRowHeight="13.2" x14ac:dyDescent="0.25"/>
  <cols>
    <col min="1" max="1" width="37.88671875" style="134" customWidth="1"/>
    <col min="2" max="2" width="15.33203125" style="134" customWidth="1"/>
    <col min="3" max="3" width="19.109375" style="134" customWidth="1"/>
    <col min="4" max="4" width="19" style="134" customWidth="1"/>
    <col min="5" max="6" width="21" style="134" customWidth="1"/>
    <col min="7" max="7" width="57.33203125" style="134" customWidth="1"/>
    <col min="8" max="8" width="166.109375" style="134" customWidth="1"/>
    <col min="9" max="256" width="8.88671875" style="134"/>
    <col min="257" max="257" width="37.88671875" style="134" customWidth="1"/>
    <col min="258" max="258" width="15.33203125" style="134" customWidth="1"/>
    <col min="259" max="259" width="19.109375" style="134" customWidth="1"/>
    <col min="260" max="260" width="19" style="134" customWidth="1"/>
    <col min="261" max="262" width="21" style="134" customWidth="1"/>
    <col min="263" max="263" width="57.33203125" style="134" customWidth="1"/>
    <col min="264" max="264" width="166.109375" style="134" customWidth="1"/>
    <col min="265" max="512" width="8.88671875" style="134"/>
    <col min="513" max="513" width="37.88671875" style="134" customWidth="1"/>
    <col min="514" max="514" width="15.33203125" style="134" customWidth="1"/>
    <col min="515" max="515" width="19.109375" style="134" customWidth="1"/>
    <col min="516" max="516" width="19" style="134" customWidth="1"/>
    <col min="517" max="518" width="21" style="134" customWidth="1"/>
    <col min="519" max="519" width="57.33203125" style="134" customWidth="1"/>
    <col min="520" max="520" width="166.109375" style="134" customWidth="1"/>
    <col min="521" max="768" width="8.88671875" style="134"/>
    <col min="769" max="769" width="37.88671875" style="134" customWidth="1"/>
    <col min="770" max="770" width="15.33203125" style="134" customWidth="1"/>
    <col min="771" max="771" width="19.109375" style="134" customWidth="1"/>
    <col min="772" max="772" width="19" style="134" customWidth="1"/>
    <col min="773" max="774" width="21" style="134" customWidth="1"/>
    <col min="775" max="775" width="57.33203125" style="134" customWidth="1"/>
    <col min="776" max="776" width="166.109375" style="134" customWidth="1"/>
    <col min="777" max="1024" width="8.88671875" style="134"/>
    <col min="1025" max="1025" width="37.88671875" style="134" customWidth="1"/>
    <col min="1026" max="1026" width="15.33203125" style="134" customWidth="1"/>
    <col min="1027" max="1027" width="19.109375" style="134" customWidth="1"/>
    <col min="1028" max="1028" width="19" style="134" customWidth="1"/>
    <col min="1029" max="1030" width="21" style="134" customWidth="1"/>
    <col min="1031" max="1031" width="57.33203125" style="134" customWidth="1"/>
    <col min="1032" max="1032" width="166.109375" style="134" customWidth="1"/>
    <col min="1033" max="1280" width="8.88671875" style="134"/>
    <col min="1281" max="1281" width="37.88671875" style="134" customWidth="1"/>
    <col min="1282" max="1282" width="15.33203125" style="134" customWidth="1"/>
    <col min="1283" max="1283" width="19.109375" style="134" customWidth="1"/>
    <col min="1284" max="1284" width="19" style="134" customWidth="1"/>
    <col min="1285" max="1286" width="21" style="134" customWidth="1"/>
    <col min="1287" max="1287" width="57.33203125" style="134" customWidth="1"/>
    <col min="1288" max="1288" width="166.109375" style="134" customWidth="1"/>
    <col min="1289" max="1536" width="8.88671875" style="134"/>
    <col min="1537" max="1537" width="37.88671875" style="134" customWidth="1"/>
    <col min="1538" max="1538" width="15.33203125" style="134" customWidth="1"/>
    <col min="1539" max="1539" width="19.109375" style="134" customWidth="1"/>
    <col min="1540" max="1540" width="19" style="134" customWidth="1"/>
    <col min="1541" max="1542" width="21" style="134" customWidth="1"/>
    <col min="1543" max="1543" width="57.33203125" style="134" customWidth="1"/>
    <col min="1544" max="1544" width="166.109375" style="134" customWidth="1"/>
    <col min="1545" max="1792" width="8.88671875" style="134"/>
    <col min="1793" max="1793" width="37.88671875" style="134" customWidth="1"/>
    <col min="1794" max="1794" width="15.33203125" style="134" customWidth="1"/>
    <col min="1795" max="1795" width="19.109375" style="134" customWidth="1"/>
    <col min="1796" max="1796" width="19" style="134" customWidth="1"/>
    <col min="1797" max="1798" width="21" style="134" customWidth="1"/>
    <col min="1799" max="1799" width="57.33203125" style="134" customWidth="1"/>
    <col min="1800" max="1800" width="166.109375" style="134" customWidth="1"/>
    <col min="1801" max="2048" width="8.88671875" style="134"/>
    <col min="2049" max="2049" width="37.88671875" style="134" customWidth="1"/>
    <col min="2050" max="2050" width="15.33203125" style="134" customWidth="1"/>
    <col min="2051" max="2051" width="19.109375" style="134" customWidth="1"/>
    <col min="2052" max="2052" width="19" style="134" customWidth="1"/>
    <col min="2053" max="2054" width="21" style="134" customWidth="1"/>
    <col min="2055" max="2055" width="57.33203125" style="134" customWidth="1"/>
    <col min="2056" max="2056" width="166.109375" style="134" customWidth="1"/>
    <col min="2057" max="2304" width="8.88671875" style="134"/>
    <col min="2305" max="2305" width="37.88671875" style="134" customWidth="1"/>
    <col min="2306" max="2306" width="15.33203125" style="134" customWidth="1"/>
    <col min="2307" max="2307" width="19.109375" style="134" customWidth="1"/>
    <col min="2308" max="2308" width="19" style="134" customWidth="1"/>
    <col min="2309" max="2310" width="21" style="134" customWidth="1"/>
    <col min="2311" max="2311" width="57.33203125" style="134" customWidth="1"/>
    <col min="2312" max="2312" width="166.109375" style="134" customWidth="1"/>
    <col min="2313" max="2560" width="8.88671875" style="134"/>
    <col min="2561" max="2561" width="37.88671875" style="134" customWidth="1"/>
    <col min="2562" max="2562" width="15.33203125" style="134" customWidth="1"/>
    <col min="2563" max="2563" width="19.109375" style="134" customWidth="1"/>
    <col min="2564" max="2564" width="19" style="134" customWidth="1"/>
    <col min="2565" max="2566" width="21" style="134" customWidth="1"/>
    <col min="2567" max="2567" width="57.33203125" style="134" customWidth="1"/>
    <col min="2568" max="2568" width="166.109375" style="134" customWidth="1"/>
    <col min="2569" max="2816" width="8.88671875" style="134"/>
    <col min="2817" max="2817" width="37.88671875" style="134" customWidth="1"/>
    <col min="2818" max="2818" width="15.33203125" style="134" customWidth="1"/>
    <col min="2819" max="2819" width="19.109375" style="134" customWidth="1"/>
    <col min="2820" max="2820" width="19" style="134" customWidth="1"/>
    <col min="2821" max="2822" width="21" style="134" customWidth="1"/>
    <col min="2823" max="2823" width="57.33203125" style="134" customWidth="1"/>
    <col min="2824" max="2824" width="166.109375" style="134" customWidth="1"/>
    <col min="2825" max="3072" width="8.88671875" style="134"/>
    <col min="3073" max="3073" width="37.88671875" style="134" customWidth="1"/>
    <col min="3074" max="3074" width="15.33203125" style="134" customWidth="1"/>
    <col min="3075" max="3075" width="19.109375" style="134" customWidth="1"/>
    <col min="3076" max="3076" width="19" style="134" customWidth="1"/>
    <col min="3077" max="3078" width="21" style="134" customWidth="1"/>
    <col min="3079" max="3079" width="57.33203125" style="134" customWidth="1"/>
    <col min="3080" max="3080" width="166.109375" style="134" customWidth="1"/>
    <col min="3081" max="3328" width="8.88671875" style="134"/>
    <col min="3329" max="3329" width="37.88671875" style="134" customWidth="1"/>
    <col min="3330" max="3330" width="15.33203125" style="134" customWidth="1"/>
    <col min="3331" max="3331" width="19.109375" style="134" customWidth="1"/>
    <col min="3332" max="3332" width="19" style="134" customWidth="1"/>
    <col min="3333" max="3334" width="21" style="134" customWidth="1"/>
    <col min="3335" max="3335" width="57.33203125" style="134" customWidth="1"/>
    <col min="3336" max="3336" width="166.109375" style="134" customWidth="1"/>
    <col min="3337" max="3584" width="8.88671875" style="134"/>
    <col min="3585" max="3585" width="37.88671875" style="134" customWidth="1"/>
    <col min="3586" max="3586" width="15.33203125" style="134" customWidth="1"/>
    <col min="3587" max="3587" width="19.109375" style="134" customWidth="1"/>
    <col min="3588" max="3588" width="19" style="134" customWidth="1"/>
    <col min="3589" max="3590" width="21" style="134" customWidth="1"/>
    <col min="3591" max="3591" width="57.33203125" style="134" customWidth="1"/>
    <col min="3592" max="3592" width="166.109375" style="134" customWidth="1"/>
    <col min="3593" max="3840" width="8.88671875" style="134"/>
    <col min="3841" max="3841" width="37.88671875" style="134" customWidth="1"/>
    <col min="3842" max="3842" width="15.33203125" style="134" customWidth="1"/>
    <col min="3843" max="3843" width="19.109375" style="134" customWidth="1"/>
    <col min="3844" max="3844" width="19" style="134" customWidth="1"/>
    <col min="3845" max="3846" width="21" style="134" customWidth="1"/>
    <col min="3847" max="3847" width="57.33203125" style="134" customWidth="1"/>
    <col min="3848" max="3848" width="166.109375" style="134" customWidth="1"/>
    <col min="3849" max="4096" width="8.88671875" style="134"/>
    <col min="4097" max="4097" width="37.88671875" style="134" customWidth="1"/>
    <col min="4098" max="4098" width="15.33203125" style="134" customWidth="1"/>
    <col min="4099" max="4099" width="19.109375" style="134" customWidth="1"/>
    <col min="4100" max="4100" width="19" style="134" customWidth="1"/>
    <col min="4101" max="4102" width="21" style="134" customWidth="1"/>
    <col min="4103" max="4103" width="57.33203125" style="134" customWidth="1"/>
    <col min="4104" max="4104" width="166.109375" style="134" customWidth="1"/>
    <col min="4105" max="4352" width="8.88671875" style="134"/>
    <col min="4353" max="4353" width="37.88671875" style="134" customWidth="1"/>
    <col min="4354" max="4354" width="15.33203125" style="134" customWidth="1"/>
    <col min="4355" max="4355" width="19.109375" style="134" customWidth="1"/>
    <col min="4356" max="4356" width="19" style="134" customWidth="1"/>
    <col min="4357" max="4358" width="21" style="134" customWidth="1"/>
    <col min="4359" max="4359" width="57.33203125" style="134" customWidth="1"/>
    <col min="4360" max="4360" width="166.109375" style="134" customWidth="1"/>
    <col min="4361" max="4608" width="8.88671875" style="134"/>
    <col min="4609" max="4609" width="37.88671875" style="134" customWidth="1"/>
    <col min="4610" max="4610" width="15.33203125" style="134" customWidth="1"/>
    <col min="4611" max="4611" width="19.109375" style="134" customWidth="1"/>
    <col min="4612" max="4612" width="19" style="134" customWidth="1"/>
    <col min="4613" max="4614" width="21" style="134" customWidth="1"/>
    <col min="4615" max="4615" width="57.33203125" style="134" customWidth="1"/>
    <col min="4616" max="4616" width="166.109375" style="134" customWidth="1"/>
    <col min="4617" max="4864" width="8.88671875" style="134"/>
    <col min="4865" max="4865" width="37.88671875" style="134" customWidth="1"/>
    <col min="4866" max="4866" width="15.33203125" style="134" customWidth="1"/>
    <col min="4867" max="4867" width="19.109375" style="134" customWidth="1"/>
    <col min="4868" max="4868" width="19" style="134" customWidth="1"/>
    <col min="4869" max="4870" width="21" style="134" customWidth="1"/>
    <col min="4871" max="4871" width="57.33203125" style="134" customWidth="1"/>
    <col min="4872" max="4872" width="166.109375" style="134" customWidth="1"/>
    <col min="4873" max="5120" width="8.88671875" style="134"/>
    <col min="5121" max="5121" width="37.88671875" style="134" customWidth="1"/>
    <col min="5122" max="5122" width="15.33203125" style="134" customWidth="1"/>
    <col min="5123" max="5123" width="19.109375" style="134" customWidth="1"/>
    <col min="5124" max="5124" width="19" style="134" customWidth="1"/>
    <col min="5125" max="5126" width="21" style="134" customWidth="1"/>
    <col min="5127" max="5127" width="57.33203125" style="134" customWidth="1"/>
    <col min="5128" max="5128" width="166.109375" style="134" customWidth="1"/>
    <col min="5129" max="5376" width="8.88671875" style="134"/>
    <col min="5377" max="5377" width="37.88671875" style="134" customWidth="1"/>
    <col min="5378" max="5378" width="15.33203125" style="134" customWidth="1"/>
    <col min="5379" max="5379" width="19.109375" style="134" customWidth="1"/>
    <col min="5380" max="5380" width="19" style="134" customWidth="1"/>
    <col min="5381" max="5382" width="21" style="134" customWidth="1"/>
    <col min="5383" max="5383" width="57.33203125" style="134" customWidth="1"/>
    <col min="5384" max="5384" width="166.109375" style="134" customWidth="1"/>
    <col min="5385" max="5632" width="8.88671875" style="134"/>
    <col min="5633" max="5633" width="37.88671875" style="134" customWidth="1"/>
    <col min="5634" max="5634" width="15.33203125" style="134" customWidth="1"/>
    <col min="5635" max="5635" width="19.109375" style="134" customWidth="1"/>
    <col min="5636" max="5636" width="19" style="134" customWidth="1"/>
    <col min="5637" max="5638" width="21" style="134" customWidth="1"/>
    <col min="5639" max="5639" width="57.33203125" style="134" customWidth="1"/>
    <col min="5640" max="5640" width="166.109375" style="134" customWidth="1"/>
    <col min="5641" max="5888" width="8.88671875" style="134"/>
    <col min="5889" max="5889" width="37.88671875" style="134" customWidth="1"/>
    <col min="5890" max="5890" width="15.33203125" style="134" customWidth="1"/>
    <col min="5891" max="5891" width="19.109375" style="134" customWidth="1"/>
    <col min="5892" max="5892" width="19" style="134" customWidth="1"/>
    <col min="5893" max="5894" width="21" style="134" customWidth="1"/>
    <col min="5895" max="5895" width="57.33203125" style="134" customWidth="1"/>
    <col min="5896" max="5896" width="166.109375" style="134" customWidth="1"/>
    <col min="5897" max="6144" width="8.88671875" style="134"/>
    <col min="6145" max="6145" width="37.88671875" style="134" customWidth="1"/>
    <col min="6146" max="6146" width="15.33203125" style="134" customWidth="1"/>
    <col min="6147" max="6147" width="19.109375" style="134" customWidth="1"/>
    <col min="6148" max="6148" width="19" style="134" customWidth="1"/>
    <col min="6149" max="6150" width="21" style="134" customWidth="1"/>
    <col min="6151" max="6151" width="57.33203125" style="134" customWidth="1"/>
    <col min="6152" max="6152" width="166.109375" style="134" customWidth="1"/>
    <col min="6153" max="6400" width="8.88671875" style="134"/>
    <col min="6401" max="6401" width="37.88671875" style="134" customWidth="1"/>
    <col min="6402" max="6402" width="15.33203125" style="134" customWidth="1"/>
    <col min="6403" max="6403" width="19.109375" style="134" customWidth="1"/>
    <col min="6404" max="6404" width="19" style="134" customWidth="1"/>
    <col min="6405" max="6406" width="21" style="134" customWidth="1"/>
    <col min="6407" max="6407" width="57.33203125" style="134" customWidth="1"/>
    <col min="6408" max="6408" width="166.109375" style="134" customWidth="1"/>
    <col min="6409" max="6656" width="8.88671875" style="134"/>
    <col min="6657" max="6657" width="37.88671875" style="134" customWidth="1"/>
    <col min="6658" max="6658" width="15.33203125" style="134" customWidth="1"/>
    <col min="6659" max="6659" width="19.109375" style="134" customWidth="1"/>
    <col min="6660" max="6660" width="19" style="134" customWidth="1"/>
    <col min="6661" max="6662" width="21" style="134" customWidth="1"/>
    <col min="6663" max="6663" width="57.33203125" style="134" customWidth="1"/>
    <col min="6664" max="6664" width="166.109375" style="134" customWidth="1"/>
    <col min="6665" max="6912" width="8.88671875" style="134"/>
    <col min="6913" max="6913" width="37.88671875" style="134" customWidth="1"/>
    <col min="6914" max="6914" width="15.33203125" style="134" customWidth="1"/>
    <col min="6915" max="6915" width="19.109375" style="134" customWidth="1"/>
    <col min="6916" max="6916" width="19" style="134" customWidth="1"/>
    <col min="6917" max="6918" width="21" style="134" customWidth="1"/>
    <col min="6919" max="6919" width="57.33203125" style="134" customWidth="1"/>
    <col min="6920" max="6920" width="166.109375" style="134" customWidth="1"/>
    <col min="6921" max="7168" width="8.88671875" style="134"/>
    <col min="7169" max="7169" width="37.88671875" style="134" customWidth="1"/>
    <col min="7170" max="7170" width="15.33203125" style="134" customWidth="1"/>
    <col min="7171" max="7171" width="19.109375" style="134" customWidth="1"/>
    <col min="7172" max="7172" width="19" style="134" customWidth="1"/>
    <col min="7173" max="7174" width="21" style="134" customWidth="1"/>
    <col min="7175" max="7175" width="57.33203125" style="134" customWidth="1"/>
    <col min="7176" max="7176" width="166.109375" style="134" customWidth="1"/>
    <col min="7177" max="7424" width="8.88671875" style="134"/>
    <col min="7425" max="7425" width="37.88671875" style="134" customWidth="1"/>
    <col min="7426" max="7426" width="15.33203125" style="134" customWidth="1"/>
    <col min="7427" max="7427" width="19.109375" style="134" customWidth="1"/>
    <col min="7428" max="7428" width="19" style="134" customWidth="1"/>
    <col min="7429" max="7430" width="21" style="134" customWidth="1"/>
    <col min="7431" max="7431" width="57.33203125" style="134" customWidth="1"/>
    <col min="7432" max="7432" width="166.109375" style="134" customWidth="1"/>
    <col min="7433" max="7680" width="8.88671875" style="134"/>
    <col min="7681" max="7681" width="37.88671875" style="134" customWidth="1"/>
    <col min="7682" max="7682" width="15.33203125" style="134" customWidth="1"/>
    <col min="7683" max="7683" width="19.109375" style="134" customWidth="1"/>
    <col min="7684" max="7684" width="19" style="134" customWidth="1"/>
    <col min="7685" max="7686" width="21" style="134" customWidth="1"/>
    <col min="7687" max="7687" width="57.33203125" style="134" customWidth="1"/>
    <col min="7688" max="7688" width="166.109375" style="134" customWidth="1"/>
    <col min="7689" max="7936" width="8.88671875" style="134"/>
    <col min="7937" max="7937" width="37.88671875" style="134" customWidth="1"/>
    <col min="7938" max="7938" width="15.33203125" style="134" customWidth="1"/>
    <col min="7939" max="7939" width="19.109375" style="134" customWidth="1"/>
    <col min="7940" max="7940" width="19" style="134" customWidth="1"/>
    <col min="7941" max="7942" width="21" style="134" customWidth="1"/>
    <col min="7943" max="7943" width="57.33203125" style="134" customWidth="1"/>
    <col min="7944" max="7944" width="166.109375" style="134" customWidth="1"/>
    <col min="7945" max="8192" width="8.88671875" style="134"/>
    <col min="8193" max="8193" width="37.88671875" style="134" customWidth="1"/>
    <col min="8194" max="8194" width="15.33203125" style="134" customWidth="1"/>
    <col min="8195" max="8195" width="19.109375" style="134" customWidth="1"/>
    <col min="8196" max="8196" width="19" style="134" customWidth="1"/>
    <col min="8197" max="8198" width="21" style="134" customWidth="1"/>
    <col min="8199" max="8199" width="57.33203125" style="134" customWidth="1"/>
    <col min="8200" max="8200" width="166.109375" style="134" customWidth="1"/>
    <col min="8201" max="8448" width="8.88671875" style="134"/>
    <col min="8449" max="8449" width="37.88671875" style="134" customWidth="1"/>
    <col min="8450" max="8450" width="15.33203125" style="134" customWidth="1"/>
    <col min="8451" max="8451" width="19.109375" style="134" customWidth="1"/>
    <col min="8452" max="8452" width="19" style="134" customWidth="1"/>
    <col min="8453" max="8454" width="21" style="134" customWidth="1"/>
    <col min="8455" max="8455" width="57.33203125" style="134" customWidth="1"/>
    <col min="8456" max="8456" width="166.109375" style="134" customWidth="1"/>
    <col min="8457" max="8704" width="8.88671875" style="134"/>
    <col min="8705" max="8705" width="37.88671875" style="134" customWidth="1"/>
    <col min="8706" max="8706" width="15.33203125" style="134" customWidth="1"/>
    <col min="8707" max="8707" width="19.109375" style="134" customWidth="1"/>
    <col min="8708" max="8708" width="19" style="134" customWidth="1"/>
    <col min="8709" max="8710" width="21" style="134" customWidth="1"/>
    <col min="8711" max="8711" width="57.33203125" style="134" customWidth="1"/>
    <col min="8712" max="8712" width="166.109375" style="134" customWidth="1"/>
    <col min="8713" max="8960" width="8.88671875" style="134"/>
    <col min="8961" max="8961" width="37.88671875" style="134" customWidth="1"/>
    <col min="8962" max="8962" width="15.33203125" style="134" customWidth="1"/>
    <col min="8963" max="8963" width="19.109375" style="134" customWidth="1"/>
    <col min="8964" max="8964" width="19" style="134" customWidth="1"/>
    <col min="8965" max="8966" width="21" style="134" customWidth="1"/>
    <col min="8967" max="8967" width="57.33203125" style="134" customWidth="1"/>
    <col min="8968" max="8968" width="166.109375" style="134" customWidth="1"/>
    <col min="8969" max="9216" width="8.88671875" style="134"/>
    <col min="9217" max="9217" width="37.88671875" style="134" customWidth="1"/>
    <col min="9218" max="9218" width="15.33203125" style="134" customWidth="1"/>
    <col min="9219" max="9219" width="19.109375" style="134" customWidth="1"/>
    <col min="9220" max="9220" width="19" style="134" customWidth="1"/>
    <col min="9221" max="9222" width="21" style="134" customWidth="1"/>
    <col min="9223" max="9223" width="57.33203125" style="134" customWidth="1"/>
    <col min="9224" max="9224" width="166.109375" style="134" customWidth="1"/>
    <col min="9225" max="9472" width="8.88671875" style="134"/>
    <col min="9473" max="9473" width="37.88671875" style="134" customWidth="1"/>
    <col min="9474" max="9474" width="15.33203125" style="134" customWidth="1"/>
    <col min="9475" max="9475" width="19.109375" style="134" customWidth="1"/>
    <col min="9476" max="9476" width="19" style="134" customWidth="1"/>
    <col min="9477" max="9478" width="21" style="134" customWidth="1"/>
    <col min="9479" max="9479" width="57.33203125" style="134" customWidth="1"/>
    <col min="9480" max="9480" width="166.109375" style="134" customWidth="1"/>
    <col min="9481" max="9728" width="8.88671875" style="134"/>
    <col min="9729" max="9729" width="37.88671875" style="134" customWidth="1"/>
    <col min="9730" max="9730" width="15.33203125" style="134" customWidth="1"/>
    <col min="9731" max="9731" width="19.109375" style="134" customWidth="1"/>
    <col min="9732" max="9732" width="19" style="134" customWidth="1"/>
    <col min="9733" max="9734" width="21" style="134" customWidth="1"/>
    <col min="9735" max="9735" width="57.33203125" style="134" customWidth="1"/>
    <col min="9736" max="9736" width="166.109375" style="134" customWidth="1"/>
    <col min="9737" max="9984" width="8.88671875" style="134"/>
    <col min="9985" max="9985" width="37.88671875" style="134" customWidth="1"/>
    <col min="9986" max="9986" width="15.33203125" style="134" customWidth="1"/>
    <col min="9987" max="9987" width="19.109375" style="134" customWidth="1"/>
    <col min="9988" max="9988" width="19" style="134" customWidth="1"/>
    <col min="9989" max="9990" width="21" style="134" customWidth="1"/>
    <col min="9991" max="9991" width="57.33203125" style="134" customWidth="1"/>
    <col min="9992" max="9992" width="166.109375" style="134" customWidth="1"/>
    <col min="9993" max="10240" width="8.88671875" style="134"/>
    <col min="10241" max="10241" width="37.88671875" style="134" customWidth="1"/>
    <col min="10242" max="10242" width="15.33203125" style="134" customWidth="1"/>
    <col min="10243" max="10243" width="19.109375" style="134" customWidth="1"/>
    <col min="10244" max="10244" width="19" style="134" customWidth="1"/>
    <col min="10245" max="10246" width="21" style="134" customWidth="1"/>
    <col min="10247" max="10247" width="57.33203125" style="134" customWidth="1"/>
    <col min="10248" max="10248" width="166.109375" style="134" customWidth="1"/>
    <col min="10249" max="10496" width="8.88671875" style="134"/>
    <col min="10497" max="10497" width="37.88671875" style="134" customWidth="1"/>
    <col min="10498" max="10498" width="15.33203125" style="134" customWidth="1"/>
    <col min="10499" max="10499" width="19.109375" style="134" customWidth="1"/>
    <col min="10500" max="10500" width="19" style="134" customWidth="1"/>
    <col min="10501" max="10502" width="21" style="134" customWidth="1"/>
    <col min="10503" max="10503" width="57.33203125" style="134" customWidth="1"/>
    <col min="10504" max="10504" width="166.109375" style="134" customWidth="1"/>
    <col min="10505" max="10752" width="8.88671875" style="134"/>
    <col min="10753" max="10753" width="37.88671875" style="134" customWidth="1"/>
    <col min="10754" max="10754" width="15.33203125" style="134" customWidth="1"/>
    <col min="10755" max="10755" width="19.109375" style="134" customWidth="1"/>
    <col min="10756" max="10756" width="19" style="134" customWidth="1"/>
    <col min="10757" max="10758" width="21" style="134" customWidth="1"/>
    <col min="10759" max="10759" width="57.33203125" style="134" customWidth="1"/>
    <col min="10760" max="10760" width="166.109375" style="134" customWidth="1"/>
    <col min="10761" max="11008" width="8.88671875" style="134"/>
    <col min="11009" max="11009" width="37.88671875" style="134" customWidth="1"/>
    <col min="11010" max="11010" width="15.33203125" style="134" customWidth="1"/>
    <col min="11011" max="11011" width="19.109375" style="134" customWidth="1"/>
    <col min="11012" max="11012" width="19" style="134" customWidth="1"/>
    <col min="11013" max="11014" width="21" style="134" customWidth="1"/>
    <col min="11015" max="11015" width="57.33203125" style="134" customWidth="1"/>
    <col min="11016" max="11016" width="166.109375" style="134" customWidth="1"/>
    <col min="11017" max="11264" width="8.88671875" style="134"/>
    <col min="11265" max="11265" width="37.88671875" style="134" customWidth="1"/>
    <col min="11266" max="11266" width="15.33203125" style="134" customWidth="1"/>
    <col min="11267" max="11267" width="19.109375" style="134" customWidth="1"/>
    <col min="11268" max="11268" width="19" style="134" customWidth="1"/>
    <col min="11269" max="11270" width="21" style="134" customWidth="1"/>
    <col min="11271" max="11271" width="57.33203125" style="134" customWidth="1"/>
    <col min="11272" max="11272" width="166.109375" style="134" customWidth="1"/>
    <col min="11273" max="11520" width="8.88671875" style="134"/>
    <col min="11521" max="11521" width="37.88671875" style="134" customWidth="1"/>
    <col min="11522" max="11522" width="15.33203125" style="134" customWidth="1"/>
    <col min="11523" max="11523" width="19.109375" style="134" customWidth="1"/>
    <col min="11524" max="11524" width="19" style="134" customWidth="1"/>
    <col min="11525" max="11526" width="21" style="134" customWidth="1"/>
    <col min="11527" max="11527" width="57.33203125" style="134" customWidth="1"/>
    <col min="11528" max="11528" width="166.109375" style="134" customWidth="1"/>
    <col min="11529" max="11776" width="8.88671875" style="134"/>
    <col min="11777" max="11777" width="37.88671875" style="134" customWidth="1"/>
    <col min="11778" max="11778" width="15.33203125" style="134" customWidth="1"/>
    <col min="11779" max="11779" width="19.109375" style="134" customWidth="1"/>
    <col min="11780" max="11780" width="19" style="134" customWidth="1"/>
    <col min="11781" max="11782" width="21" style="134" customWidth="1"/>
    <col min="11783" max="11783" width="57.33203125" style="134" customWidth="1"/>
    <col min="11784" max="11784" width="166.109375" style="134" customWidth="1"/>
    <col min="11785" max="12032" width="8.88671875" style="134"/>
    <col min="12033" max="12033" width="37.88671875" style="134" customWidth="1"/>
    <col min="12034" max="12034" width="15.33203125" style="134" customWidth="1"/>
    <col min="12035" max="12035" width="19.109375" style="134" customWidth="1"/>
    <col min="12036" max="12036" width="19" style="134" customWidth="1"/>
    <col min="12037" max="12038" width="21" style="134" customWidth="1"/>
    <col min="12039" max="12039" width="57.33203125" style="134" customWidth="1"/>
    <col min="12040" max="12040" width="166.109375" style="134" customWidth="1"/>
    <col min="12041" max="12288" width="8.88671875" style="134"/>
    <col min="12289" max="12289" width="37.88671875" style="134" customWidth="1"/>
    <col min="12290" max="12290" width="15.33203125" style="134" customWidth="1"/>
    <col min="12291" max="12291" width="19.109375" style="134" customWidth="1"/>
    <col min="12292" max="12292" width="19" style="134" customWidth="1"/>
    <col min="12293" max="12294" width="21" style="134" customWidth="1"/>
    <col min="12295" max="12295" width="57.33203125" style="134" customWidth="1"/>
    <col min="12296" max="12296" width="166.109375" style="134" customWidth="1"/>
    <col min="12297" max="12544" width="8.88671875" style="134"/>
    <col min="12545" max="12545" width="37.88671875" style="134" customWidth="1"/>
    <col min="12546" max="12546" width="15.33203125" style="134" customWidth="1"/>
    <col min="12547" max="12547" width="19.109375" style="134" customWidth="1"/>
    <col min="12548" max="12548" width="19" style="134" customWidth="1"/>
    <col min="12549" max="12550" width="21" style="134" customWidth="1"/>
    <col min="12551" max="12551" width="57.33203125" style="134" customWidth="1"/>
    <col min="12552" max="12552" width="166.109375" style="134" customWidth="1"/>
    <col min="12553" max="12800" width="8.88671875" style="134"/>
    <col min="12801" max="12801" width="37.88671875" style="134" customWidth="1"/>
    <col min="12802" max="12802" width="15.33203125" style="134" customWidth="1"/>
    <col min="12803" max="12803" width="19.109375" style="134" customWidth="1"/>
    <col min="12804" max="12804" width="19" style="134" customWidth="1"/>
    <col min="12805" max="12806" width="21" style="134" customWidth="1"/>
    <col min="12807" max="12807" width="57.33203125" style="134" customWidth="1"/>
    <col min="12808" max="12808" width="166.109375" style="134" customWidth="1"/>
    <col min="12809" max="13056" width="8.88671875" style="134"/>
    <col min="13057" max="13057" width="37.88671875" style="134" customWidth="1"/>
    <col min="13058" max="13058" width="15.33203125" style="134" customWidth="1"/>
    <col min="13059" max="13059" width="19.109375" style="134" customWidth="1"/>
    <col min="13060" max="13060" width="19" style="134" customWidth="1"/>
    <col min="13061" max="13062" width="21" style="134" customWidth="1"/>
    <col min="13063" max="13063" width="57.33203125" style="134" customWidth="1"/>
    <col min="13064" max="13064" width="166.109375" style="134" customWidth="1"/>
    <col min="13065" max="13312" width="8.88671875" style="134"/>
    <col min="13313" max="13313" width="37.88671875" style="134" customWidth="1"/>
    <col min="13314" max="13314" width="15.33203125" style="134" customWidth="1"/>
    <col min="13315" max="13315" width="19.109375" style="134" customWidth="1"/>
    <col min="13316" max="13316" width="19" style="134" customWidth="1"/>
    <col min="13317" max="13318" width="21" style="134" customWidth="1"/>
    <col min="13319" max="13319" width="57.33203125" style="134" customWidth="1"/>
    <col min="13320" max="13320" width="166.109375" style="134" customWidth="1"/>
    <col min="13321" max="13568" width="8.88671875" style="134"/>
    <col min="13569" max="13569" width="37.88671875" style="134" customWidth="1"/>
    <col min="13570" max="13570" width="15.33203125" style="134" customWidth="1"/>
    <col min="13571" max="13571" width="19.109375" style="134" customWidth="1"/>
    <col min="13572" max="13572" width="19" style="134" customWidth="1"/>
    <col min="13573" max="13574" width="21" style="134" customWidth="1"/>
    <col min="13575" max="13575" width="57.33203125" style="134" customWidth="1"/>
    <col min="13576" max="13576" width="166.109375" style="134" customWidth="1"/>
    <col min="13577" max="13824" width="8.88671875" style="134"/>
    <col min="13825" max="13825" width="37.88671875" style="134" customWidth="1"/>
    <col min="13826" max="13826" width="15.33203125" style="134" customWidth="1"/>
    <col min="13827" max="13827" width="19.109375" style="134" customWidth="1"/>
    <col min="13828" max="13828" width="19" style="134" customWidth="1"/>
    <col min="13829" max="13830" width="21" style="134" customWidth="1"/>
    <col min="13831" max="13831" width="57.33203125" style="134" customWidth="1"/>
    <col min="13832" max="13832" width="166.109375" style="134" customWidth="1"/>
    <col min="13833" max="14080" width="8.88671875" style="134"/>
    <col min="14081" max="14081" width="37.88671875" style="134" customWidth="1"/>
    <col min="14082" max="14082" width="15.33203125" style="134" customWidth="1"/>
    <col min="14083" max="14083" width="19.109375" style="134" customWidth="1"/>
    <col min="14084" max="14084" width="19" style="134" customWidth="1"/>
    <col min="14085" max="14086" width="21" style="134" customWidth="1"/>
    <col min="14087" max="14087" width="57.33203125" style="134" customWidth="1"/>
    <col min="14088" max="14088" width="166.109375" style="134" customWidth="1"/>
    <col min="14089" max="14336" width="8.88671875" style="134"/>
    <col min="14337" max="14337" width="37.88671875" style="134" customWidth="1"/>
    <col min="14338" max="14338" width="15.33203125" style="134" customWidth="1"/>
    <col min="14339" max="14339" width="19.109375" style="134" customWidth="1"/>
    <col min="14340" max="14340" width="19" style="134" customWidth="1"/>
    <col min="14341" max="14342" width="21" style="134" customWidth="1"/>
    <col min="14343" max="14343" width="57.33203125" style="134" customWidth="1"/>
    <col min="14344" max="14344" width="166.109375" style="134" customWidth="1"/>
    <col min="14345" max="14592" width="8.88671875" style="134"/>
    <col min="14593" max="14593" width="37.88671875" style="134" customWidth="1"/>
    <col min="14594" max="14594" width="15.33203125" style="134" customWidth="1"/>
    <col min="14595" max="14595" width="19.109375" style="134" customWidth="1"/>
    <col min="14596" max="14596" width="19" style="134" customWidth="1"/>
    <col min="14597" max="14598" width="21" style="134" customWidth="1"/>
    <col min="14599" max="14599" width="57.33203125" style="134" customWidth="1"/>
    <col min="14600" max="14600" width="166.109375" style="134" customWidth="1"/>
    <col min="14601" max="14848" width="8.88671875" style="134"/>
    <col min="14849" max="14849" width="37.88671875" style="134" customWidth="1"/>
    <col min="14850" max="14850" width="15.33203125" style="134" customWidth="1"/>
    <col min="14851" max="14851" width="19.109375" style="134" customWidth="1"/>
    <col min="14852" max="14852" width="19" style="134" customWidth="1"/>
    <col min="14853" max="14854" width="21" style="134" customWidth="1"/>
    <col min="14855" max="14855" width="57.33203125" style="134" customWidth="1"/>
    <col min="14856" max="14856" width="166.109375" style="134" customWidth="1"/>
    <col min="14857" max="15104" width="8.88671875" style="134"/>
    <col min="15105" max="15105" width="37.88671875" style="134" customWidth="1"/>
    <col min="15106" max="15106" width="15.33203125" style="134" customWidth="1"/>
    <col min="15107" max="15107" width="19.109375" style="134" customWidth="1"/>
    <col min="15108" max="15108" width="19" style="134" customWidth="1"/>
    <col min="15109" max="15110" width="21" style="134" customWidth="1"/>
    <col min="15111" max="15111" width="57.33203125" style="134" customWidth="1"/>
    <col min="15112" max="15112" width="166.109375" style="134" customWidth="1"/>
    <col min="15113" max="15360" width="8.88671875" style="134"/>
    <col min="15361" max="15361" width="37.88671875" style="134" customWidth="1"/>
    <col min="15362" max="15362" width="15.33203125" style="134" customWidth="1"/>
    <col min="15363" max="15363" width="19.109375" style="134" customWidth="1"/>
    <col min="15364" max="15364" width="19" style="134" customWidth="1"/>
    <col min="15365" max="15366" width="21" style="134" customWidth="1"/>
    <col min="15367" max="15367" width="57.33203125" style="134" customWidth="1"/>
    <col min="15368" max="15368" width="166.109375" style="134" customWidth="1"/>
    <col min="15369" max="15616" width="8.88671875" style="134"/>
    <col min="15617" max="15617" width="37.88671875" style="134" customWidth="1"/>
    <col min="15618" max="15618" width="15.33203125" style="134" customWidth="1"/>
    <col min="15619" max="15619" width="19.109375" style="134" customWidth="1"/>
    <col min="15620" max="15620" width="19" style="134" customWidth="1"/>
    <col min="15621" max="15622" width="21" style="134" customWidth="1"/>
    <col min="15623" max="15623" width="57.33203125" style="134" customWidth="1"/>
    <col min="15624" max="15624" width="166.109375" style="134" customWidth="1"/>
    <col min="15625" max="15872" width="8.88671875" style="134"/>
    <col min="15873" max="15873" width="37.88671875" style="134" customWidth="1"/>
    <col min="15874" max="15874" width="15.33203125" style="134" customWidth="1"/>
    <col min="15875" max="15875" width="19.109375" style="134" customWidth="1"/>
    <col min="15876" max="15876" width="19" style="134" customWidth="1"/>
    <col min="15877" max="15878" width="21" style="134" customWidth="1"/>
    <col min="15879" max="15879" width="57.33203125" style="134" customWidth="1"/>
    <col min="15880" max="15880" width="166.109375" style="134" customWidth="1"/>
    <col min="15881" max="16128" width="8.88671875" style="134"/>
    <col min="16129" max="16129" width="37.88671875" style="134" customWidth="1"/>
    <col min="16130" max="16130" width="15.33203125" style="134" customWidth="1"/>
    <col min="16131" max="16131" width="19.109375" style="134" customWidth="1"/>
    <col min="16132" max="16132" width="19" style="134" customWidth="1"/>
    <col min="16133" max="16134" width="21" style="134" customWidth="1"/>
    <col min="16135" max="16135" width="57.33203125" style="134" customWidth="1"/>
    <col min="16136" max="16136" width="166.109375" style="134" customWidth="1"/>
    <col min="16137" max="16384" width="8.88671875" style="134"/>
  </cols>
  <sheetData>
    <row r="1" spans="1:8" ht="24.9" customHeight="1" x14ac:dyDescent="0.25">
      <c r="A1" s="132" t="s">
        <v>151</v>
      </c>
      <c r="B1" s="132" t="s">
        <v>382</v>
      </c>
      <c r="C1" s="132" t="s">
        <v>383</v>
      </c>
      <c r="D1" s="132" t="s">
        <v>384</v>
      </c>
      <c r="E1" s="132" t="s">
        <v>385</v>
      </c>
      <c r="F1" s="133" t="s">
        <v>386</v>
      </c>
      <c r="G1" s="132" t="s">
        <v>387</v>
      </c>
      <c r="H1" s="132" t="s">
        <v>388</v>
      </c>
    </row>
    <row r="2" spans="1:8" ht="153" customHeight="1" x14ac:dyDescent="0.25">
      <c r="A2" s="135" t="s">
        <v>74</v>
      </c>
      <c r="B2" s="135" t="s">
        <v>389</v>
      </c>
      <c r="C2" s="135" t="s">
        <v>390</v>
      </c>
      <c r="D2" s="135" t="s">
        <v>391</v>
      </c>
      <c r="E2" s="135" t="s">
        <v>356</v>
      </c>
      <c r="F2" s="136"/>
      <c r="G2" s="135" t="s">
        <v>392</v>
      </c>
      <c r="H2" s="135" t="s">
        <v>393</v>
      </c>
    </row>
    <row r="3" spans="1:8" ht="24.9" customHeight="1" x14ac:dyDescent="0.25">
      <c r="A3" s="137" t="s">
        <v>74</v>
      </c>
      <c r="B3" s="137" t="s">
        <v>389</v>
      </c>
      <c r="C3" s="137" t="s">
        <v>390</v>
      </c>
      <c r="D3" s="137"/>
      <c r="E3" s="137" t="s">
        <v>357</v>
      </c>
      <c r="F3" s="138"/>
      <c r="G3" s="137" t="s">
        <v>394</v>
      </c>
      <c r="H3" s="137" t="s">
        <v>395</v>
      </c>
    </row>
    <row r="4" spans="1:8" ht="24.9" customHeight="1" x14ac:dyDescent="0.25">
      <c r="A4" s="135" t="s">
        <v>396</v>
      </c>
      <c r="B4" s="135" t="s">
        <v>389</v>
      </c>
      <c r="C4" s="135" t="s">
        <v>390</v>
      </c>
      <c r="D4" s="135" t="s">
        <v>397</v>
      </c>
      <c r="E4" s="135" t="s">
        <v>320</v>
      </c>
      <c r="F4" s="136"/>
      <c r="G4" s="135" t="s">
        <v>394</v>
      </c>
      <c r="H4" s="135" t="s">
        <v>398</v>
      </c>
    </row>
    <row r="5" spans="1:8" ht="179.1" customHeight="1" x14ac:dyDescent="0.25">
      <c r="A5" s="137" t="s">
        <v>399</v>
      </c>
      <c r="B5" s="137" t="s">
        <v>389</v>
      </c>
      <c r="C5" s="137" t="s">
        <v>390</v>
      </c>
      <c r="D5" s="137" t="s">
        <v>400</v>
      </c>
      <c r="E5" s="137" t="s">
        <v>350</v>
      </c>
      <c r="F5" s="138"/>
      <c r="G5" s="137" t="s">
        <v>572</v>
      </c>
      <c r="H5" s="137" t="s">
        <v>401</v>
      </c>
    </row>
    <row r="6" spans="1:8" ht="51" customHeight="1" x14ac:dyDescent="0.25">
      <c r="A6" s="135" t="s">
        <v>71</v>
      </c>
      <c r="B6" s="135" t="s">
        <v>389</v>
      </c>
      <c r="C6" s="135" t="s">
        <v>390</v>
      </c>
      <c r="D6" s="135"/>
      <c r="E6" s="135" t="s">
        <v>351</v>
      </c>
      <c r="F6" s="136"/>
      <c r="G6" s="135" t="s">
        <v>402</v>
      </c>
      <c r="H6" s="135" t="s">
        <v>403</v>
      </c>
    </row>
    <row r="7" spans="1:8" ht="114.9" customHeight="1" x14ac:dyDescent="0.25">
      <c r="A7" s="137" t="s">
        <v>404</v>
      </c>
      <c r="B7" s="137" t="s">
        <v>389</v>
      </c>
      <c r="C7" s="137" t="s">
        <v>390</v>
      </c>
      <c r="D7" s="137"/>
      <c r="E7" s="137" t="s">
        <v>358</v>
      </c>
      <c r="F7" s="138"/>
      <c r="G7" s="137" t="s">
        <v>405</v>
      </c>
      <c r="H7" s="137" t="s">
        <v>406</v>
      </c>
    </row>
    <row r="8" spans="1:8" ht="24.9" customHeight="1" x14ac:dyDescent="0.25">
      <c r="A8" s="135" t="s">
        <v>404</v>
      </c>
      <c r="B8" s="135" t="s">
        <v>389</v>
      </c>
      <c r="C8" s="135" t="s">
        <v>390</v>
      </c>
      <c r="D8" s="135"/>
      <c r="E8" s="135" t="s">
        <v>359</v>
      </c>
      <c r="F8" s="136"/>
      <c r="G8" s="135" t="s">
        <v>394</v>
      </c>
      <c r="H8" s="135" t="s">
        <v>407</v>
      </c>
    </row>
    <row r="9" spans="1:8" ht="75.900000000000006" customHeight="1" x14ac:dyDescent="0.25">
      <c r="A9" s="137" t="s">
        <v>408</v>
      </c>
      <c r="B9" s="137" t="s">
        <v>389</v>
      </c>
      <c r="C9" s="137" t="s">
        <v>390</v>
      </c>
      <c r="D9" s="137"/>
      <c r="E9" s="137" t="s">
        <v>215</v>
      </c>
      <c r="F9" s="138"/>
      <c r="G9" s="137" t="s">
        <v>409</v>
      </c>
      <c r="H9" s="137" t="s">
        <v>410</v>
      </c>
    </row>
    <row r="10" spans="1:8" ht="75.900000000000006" customHeight="1" x14ac:dyDescent="0.25">
      <c r="A10" s="135" t="s">
        <v>408</v>
      </c>
      <c r="B10" s="135" t="s">
        <v>389</v>
      </c>
      <c r="C10" s="135" t="s">
        <v>390</v>
      </c>
      <c r="D10" s="135"/>
      <c r="E10" s="135" t="s">
        <v>411</v>
      </c>
      <c r="F10" s="136"/>
      <c r="G10" s="135" t="s">
        <v>409</v>
      </c>
      <c r="H10" s="135" t="s">
        <v>412</v>
      </c>
    </row>
    <row r="11" spans="1:8" ht="24.9" customHeight="1" x14ac:dyDescent="0.25">
      <c r="A11" s="137" t="s">
        <v>408</v>
      </c>
      <c r="B11" s="137" t="s">
        <v>389</v>
      </c>
      <c r="C11" s="137" t="s">
        <v>390</v>
      </c>
      <c r="D11" s="137"/>
      <c r="E11" s="137" t="s">
        <v>214</v>
      </c>
      <c r="F11" s="138"/>
      <c r="G11" s="137" t="s">
        <v>394</v>
      </c>
      <c r="H11" s="137" t="s">
        <v>413</v>
      </c>
    </row>
    <row r="12" spans="1:8" ht="128.1" customHeight="1" x14ac:dyDescent="0.25">
      <c r="A12" s="135" t="s">
        <v>414</v>
      </c>
      <c r="B12" s="135" t="s">
        <v>389</v>
      </c>
      <c r="C12" s="135" t="s">
        <v>390</v>
      </c>
      <c r="D12" s="135"/>
      <c r="E12" s="135" t="s">
        <v>319</v>
      </c>
      <c r="F12" s="136"/>
      <c r="G12" s="135" t="s">
        <v>415</v>
      </c>
      <c r="H12" s="135" t="s">
        <v>416</v>
      </c>
    </row>
    <row r="13" spans="1:8" ht="153" customHeight="1" x14ac:dyDescent="0.25">
      <c r="A13" s="137" t="s">
        <v>417</v>
      </c>
      <c r="B13" s="137" t="s">
        <v>389</v>
      </c>
      <c r="C13" s="137" t="s">
        <v>390</v>
      </c>
      <c r="D13" s="137"/>
      <c r="E13" s="137" t="s">
        <v>364</v>
      </c>
      <c r="F13" s="138"/>
      <c r="G13" s="137" t="s">
        <v>418</v>
      </c>
      <c r="H13" s="137" t="s">
        <v>419</v>
      </c>
    </row>
    <row r="14" spans="1:8" ht="140.1" customHeight="1" x14ac:dyDescent="0.25">
      <c r="A14" s="135" t="s">
        <v>420</v>
      </c>
      <c r="B14" s="135" t="s">
        <v>389</v>
      </c>
      <c r="C14" s="135" t="s">
        <v>390</v>
      </c>
      <c r="D14" s="135" t="s">
        <v>421</v>
      </c>
      <c r="E14" s="135" t="s">
        <v>322</v>
      </c>
      <c r="F14" s="136"/>
      <c r="G14" s="135" t="s">
        <v>573</v>
      </c>
      <c r="H14" s="135" t="s">
        <v>422</v>
      </c>
    </row>
    <row r="15" spans="1:8" ht="38.1" customHeight="1" x14ac:dyDescent="0.25">
      <c r="A15" s="137" t="s">
        <v>88</v>
      </c>
      <c r="B15" s="137" t="s">
        <v>389</v>
      </c>
      <c r="C15" s="137" t="s">
        <v>390</v>
      </c>
      <c r="D15" s="137" t="s">
        <v>423</v>
      </c>
      <c r="E15" s="137" t="s">
        <v>371</v>
      </c>
      <c r="F15" s="138"/>
      <c r="G15" s="137" t="s">
        <v>394</v>
      </c>
      <c r="H15" s="137" t="s">
        <v>424</v>
      </c>
    </row>
    <row r="16" spans="1:8" ht="179.1" customHeight="1" x14ac:dyDescent="0.25">
      <c r="A16" s="135" t="s">
        <v>75</v>
      </c>
      <c r="B16" s="135" t="s">
        <v>389</v>
      </c>
      <c r="C16" s="135"/>
      <c r="D16" s="135"/>
      <c r="E16" s="135" t="s">
        <v>209</v>
      </c>
      <c r="F16" s="136"/>
      <c r="G16" s="135" t="s">
        <v>425</v>
      </c>
      <c r="H16" s="135" t="s">
        <v>426</v>
      </c>
    </row>
    <row r="17" spans="1:8" ht="24.9" customHeight="1" x14ac:dyDescent="0.25">
      <c r="A17" s="137" t="s">
        <v>75</v>
      </c>
      <c r="B17" s="137" t="s">
        <v>389</v>
      </c>
      <c r="C17" s="137" t="s">
        <v>390</v>
      </c>
      <c r="D17" s="137"/>
      <c r="E17" s="137" t="s">
        <v>210</v>
      </c>
      <c r="F17" s="138"/>
      <c r="G17" s="137" t="s">
        <v>394</v>
      </c>
      <c r="H17" s="137" t="s">
        <v>427</v>
      </c>
    </row>
    <row r="18" spans="1:8" ht="89.1" customHeight="1" x14ac:dyDescent="0.25">
      <c r="A18" s="135" t="s">
        <v>98</v>
      </c>
      <c r="B18" s="135" t="s">
        <v>389</v>
      </c>
      <c r="C18" s="135" t="s">
        <v>390</v>
      </c>
      <c r="D18" s="135" t="s">
        <v>428</v>
      </c>
      <c r="E18" s="135" t="s">
        <v>346</v>
      </c>
      <c r="F18" s="136"/>
      <c r="G18" s="135" t="s">
        <v>429</v>
      </c>
      <c r="H18" s="135" t="s">
        <v>430</v>
      </c>
    </row>
    <row r="19" spans="1:8" ht="114.9" customHeight="1" x14ac:dyDescent="0.25">
      <c r="A19" s="137" t="s">
        <v>102</v>
      </c>
      <c r="B19" s="137" t="s">
        <v>389</v>
      </c>
      <c r="C19" s="137" t="s">
        <v>390</v>
      </c>
      <c r="D19" s="137" t="s">
        <v>431</v>
      </c>
      <c r="E19" s="137" t="s">
        <v>370</v>
      </c>
      <c r="F19" s="138"/>
      <c r="G19" s="137" t="s">
        <v>432</v>
      </c>
      <c r="H19" s="137" t="s">
        <v>433</v>
      </c>
    </row>
    <row r="20" spans="1:8" ht="89.1" customHeight="1" x14ac:dyDescent="0.25">
      <c r="A20" s="135" t="s">
        <v>132</v>
      </c>
      <c r="B20" s="135" t="s">
        <v>389</v>
      </c>
      <c r="C20" s="135" t="s">
        <v>390</v>
      </c>
      <c r="D20" s="135" t="s">
        <v>434</v>
      </c>
      <c r="E20" s="135" t="s">
        <v>302</v>
      </c>
      <c r="F20" s="136"/>
      <c r="G20" s="135" t="s">
        <v>435</v>
      </c>
      <c r="H20" s="135" t="s">
        <v>436</v>
      </c>
    </row>
    <row r="21" spans="1:8" ht="89.1" customHeight="1" x14ac:dyDescent="0.25">
      <c r="A21" s="137" t="s">
        <v>437</v>
      </c>
      <c r="B21" s="137" t="s">
        <v>389</v>
      </c>
      <c r="C21" s="137" t="s">
        <v>390</v>
      </c>
      <c r="D21" s="137" t="s">
        <v>434</v>
      </c>
      <c r="E21" s="137" t="s">
        <v>301</v>
      </c>
      <c r="F21" s="138"/>
      <c r="G21" s="137" t="s">
        <v>438</v>
      </c>
      <c r="H21" s="137" t="s">
        <v>439</v>
      </c>
    </row>
    <row r="22" spans="1:8" ht="102" customHeight="1" x14ac:dyDescent="0.25">
      <c r="A22" s="135" t="s">
        <v>440</v>
      </c>
      <c r="B22" s="135" t="s">
        <v>389</v>
      </c>
      <c r="C22" s="135" t="s">
        <v>390</v>
      </c>
      <c r="D22" s="135" t="s">
        <v>434</v>
      </c>
      <c r="E22" s="135" t="s">
        <v>303</v>
      </c>
      <c r="F22" s="136"/>
      <c r="G22" s="135" t="s">
        <v>441</v>
      </c>
      <c r="H22" s="135" t="s">
        <v>442</v>
      </c>
    </row>
    <row r="23" spans="1:8" ht="128.1" customHeight="1" x14ac:dyDescent="0.25">
      <c r="A23" s="137" t="s">
        <v>443</v>
      </c>
      <c r="B23" s="137" t="s">
        <v>389</v>
      </c>
      <c r="C23" s="137" t="s">
        <v>390</v>
      </c>
      <c r="D23" s="137" t="s">
        <v>444</v>
      </c>
      <c r="E23" s="137" t="s">
        <v>369</v>
      </c>
      <c r="F23" s="138"/>
      <c r="G23" s="137" t="s">
        <v>445</v>
      </c>
      <c r="H23" s="137" t="s">
        <v>446</v>
      </c>
    </row>
    <row r="24" spans="1:8" ht="230.1" customHeight="1" x14ac:dyDescent="0.25">
      <c r="A24" s="135" t="s">
        <v>108</v>
      </c>
      <c r="B24" s="135" t="s">
        <v>389</v>
      </c>
      <c r="C24" s="135" t="s">
        <v>390</v>
      </c>
      <c r="D24" s="135"/>
      <c r="E24" s="135" t="s">
        <v>315</v>
      </c>
      <c r="F24" s="136"/>
      <c r="G24" s="135" t="s">
        <v>447</v>
      </c>
      <c r="H24" s="135" t="s">
        <v>448</v>
      </c>
    </row>
    <row r="25" spans="1:8" ht="24.9" customHeight="1" x14ac:dyDescent="0.25">
      <c r="A25" s="137" t="s">
        <v>108</v>
      </c>
      <c r="B25" s="137" t="s">
        <v>389</v>
      </c>
      <c r="C25" s="137" t="s">
        <v>390</v>
      </c>
      <c r="D25" s="137"/>
      <c r="E25" s="137" t="s">
        <v>316</v>
      </c>
      <c r="F25" s="138"/>
      <c r="G25" s="137" t="s">
        <v>394</v>
      </c>
      <c r="H25" s="137" t="s">
        <v>449</v>
      </c>
    </row>
    <row r="26" spans="1:8" ht="63.9" customHeight="1" x14ac:dyDescent="0.25">
      <c r="A26" s="135" t="s">
        <v>81</v>
      </c>
      <c r="B26" s="135" t="s">
        <v>389</v>
      </c>
      <c r="C26" s="135" t="s">
        <v>390</v>
      </c>
      <c r="D26" s="135"/>
      <c r="E26" s="135" t="s">
        <v>227</v>
      </c>
      <c r="F26" s="136"/>
      <c r="G26" s="135" t="s">
        <v>450</v>
      </c>
      <c r="H26" s="135" t="s">
        <v>451</v>
      </c>
    </row>
    <row r="27" spans="1:8" ht="24.9" customHeight="1" x14ac:dyDescent="0.25">
      <c r="A27" s="137" t="s">
        <v>81</v>
      </c>
      <c r="B27" s="137" t="s">
        <v>389</v>
      </c>
      <c r="C27" s="137" t="s">
        <v>390</v>
      </c>
      <c r="D27" s="137"/>
      <c r="E27" s="137" t="s">
        <v>228</v>
      </c>
      <c r="F27" s="138"/>
      <c r="G27" s="137"/>
      <c r="H27" s="137" t="s">
        <v>452</v>
      </c>
    </row>
    <row r="28" spans="1:8" ht="63.9" customHeight="1" x14ac:dyDescent="0.25">
      <c r="A28" s="135" t="s">
        <v>86</v>
      </c>
      <c r="B28" s="135" t="s">
        <v>389</v>
      </c>
      <c r="C28" s="135" t="s">
        <v>390</v>
      </c>
      <c r="D28" s="135"/>
      <c r="E28" s="135" t="s">
        <v>354</v>
      </c>
      <c r="F28" s="136"/>
      <c r="G28" s="135" t="s">
        <v>453</v>
      </c>
      <c r="H28" s="135" t="s">
        <v>454</v>
      </c>
    </row>
    <row r="29" spans="1:8" ht="24.9" customHeight="1" x14ac:dyDescent="0.25">
      <c r="A29" s="137" t="s">
        <v>86</v>
      </c>
      <c r="B29" s="137" t="s">
        <v>389</v>
      </c>
      <c r="C29" s="137" t="s">
        <v>390</v>
      </c>
      <c r="D29" s="137"/>
      <c r="E29" s="137" t="s">
        <v>355</v>
      </c>
      <c r="F29" s="138"/>
      <c r="G29" s="137" t="s">
        <v>394</v>
      </c>
      <c r="H29" s="137" t="s">
        <v>455</v>
      </c>
    </row>
    <row r="30" spans="1:8" ht="75.900000000000006" customHeight="1" x14ac:dyDescent="0.25">
      <c r="A30" s="135" t="s">
        <v>344</v>
      </c>
      <c r="B30" s="135" t="s">
        <v>389</v>
      </c>
      <c r="C30" s="135" t="s">
        <v>390</v>
      </c>
      <c r="D30" s="135"/>
      <c r="E30" s="135" t="s">
        <v>345</v>
      </c>
      <c r="F30" s="136"/>
      <c r="G30" s="135" t="s">
        <v>456</v>
      </c>
      <c r="H30" s="135" t="s">
        <v>457</v>
      </c>
    </row>
    <row r="31" spans="1:8" ht="114.9" customHeight="1" x14ac:dyDescent="0.25">
      <c r="A31" s="137" t="s">
        <v>458</v>
      </c>
      <c r="B31" s="137" t="s">
        <v>389</v>
      </c>
      <c r="C31" s="137" t="s">
        <v>390</v>
      </c>
      <c r="D31" s="137"/>
      <c r="E31" s="137" t="s">
        <v>353</v>
      </c>
      <c r="F31" s="138"/>
      <c r="G31" s="137" t="s">
        <v>459</v>
      </c>
      <c r="H31" s="137" t="s">
        <v>460</v>
      </c>
    </row>
    <row r="32" spans="1:8" ht="38.1" customHeight="1" x14ac:dyDescent="0.25">
      <c r="A32" s="135" t="s">
        <v>461</v>
      </c>
      <c r="B32" s="135" t="s">
        <v>389</v>
      </c>
      <c r="C32" s="135" t="s">
        <v>390</v>
      </c>
      <c r="D32" s="135"/>
      <c r="E32" s="135" t="s">
        <v>327</v>
      </c>
      <c r="F32" s="136"/>
      <c r="G32" s="135" t="s">
        <v>462</v>
      </c>
      <c r="H32" s="135" t="s">
        <v>463</v>
      </c>
    </row>
    <row r="33" spans="1:8" ht="75.900000000000006" customHeight="1" x14ac:dyDescent="0.25">
      <c r="A33" s="137" t="s">
        <v>464</v>
      </c>
      <c r="B33" s="137" t="s">
        <v>389</v>
      </c>
      <c r="C33" s="137" t="s">
        <v>390</v>
      </c>
      <c r="D33" s="137"/>
      <c r="E33" s="137" t="s">
        <v>340</v>
      </c>
      <c r="F33" s="138"/>
      <c r="G33" s="137" t="s">
        <v>465</v>
      </c>
      <c r="H33" s="137" t="s">
        <v>466</v>
      </c>
    </row>
    <row r="34" spans="1:8" ht="89.1" customHeight="1" x14ac:dyDescent="0.25">
      <c r="A34" s="150" t="s">
        <v>467</v>
      </c>
      <c r="B34" s="135" t="s">
        <v>389</v>
      </c>
      <c r="C34" s="135" t="s">
        <v>390</v>
      </c>
      <c r="D34" s="135"/>
      <c r="E34" s="135" t="s">
        <v>341</v>
      </c>
      <c r="F34" s="136"/>
      <c r="G34" s="135" t="s">
        <v>468</v>
      </c>
      <c r="H34" s="135" t="s">
        <v>469</v>
      </c>
    </row>
    <row r="35" spans="1:8" ht="114.9" customHeight="1" x14ac:dyDescent="0.25">
      <c r="A35" s="137" t="s">
        <v>470</v>
      </c>
      <c r="B35" s="137" t="s">
        <v>389</v>
      </c>
      <c r="C35" s="137" t="s">
        <v>390</v>
      </c>
      <c r="D35" s="137"/>
      <c r="E35" s="137" t="s">
        <v>218</v>
      </c>
      <c r="F35" s="138"/>
      <c r="G35" s="137" t="s">
        <v>575</v>
      </c>
      <c r="H35" s="137" t="s">
        <v>471</v>
      </c>
    </row>
    <row r="36" spans="1:8" ht="24.9" customHeight="1" x14ac:dyDescent="0.25">
      <c r="A36" s="135" t="s">
        <v>576</v>
      </c>
      <c r="B36" s="135" t="s">
        <v>389</v>
      </c>
      <c r="C36" s="135" t="s">
        <v>390</v>
      </c>
      <c r="D36" s="135"/>
      <c r="E36" s="135" t="s">
        <v>472</v>
      </c>
      <c r="F36" s="136"/>
      <c r="G36" s="135" t="s">
        <v>394</v>
      </c>
      <c r="H36" s="135" t="s">
        <v>473</v>
      </c>
    </row>
    <row r="37" spans="1:8" ht="128.1" customHeight="1" x14ac:dyDescent="0.25">
      <c r="A37" s="137" t="s">
        <v>474</v>
      </c>
      <c r="B37" s="137" t="s">
        <v>389</v>
      </c>
      <c r="C37" s="137" t="s">
        <v>390</v>
      </c>
      <c r="D37" s="137"/>
      <c r="E37" s="137" t="s">
        <v>367</v>
      </c>
      <c r="F37" s="138"/>
      <c r="G37" s="137" t="s">
        <v>475</v>
      </c>
      <c r="H37" s="137" t="s">
        <v>476</v>
      </c>
    </row>
    <row r="38" spans="1:8" ht="24.9" customHeight="1" x14ac:dyDescent="0.25">
      <c r="A38" s="135" t="s">
        <v>477</v>
      </c>
      <c r="B38" s="135" t="s">
        <v>389</v>
      </c>
      <c r="C38" s="135" t="s">
        <v>390</v>
      </c>
      <c r="D38" s="135"/>
      <c r="E38" s="135" t="s">
        <v>380</v>
      </c>
      <c r="F38" s="136"/>
      <c r="G38" s="135" t="s">
        <v>394</v>
      </c>
      <c r="H38" s="135" t="s">
        <v>478</v>
      </c>
    </row>
    <row r="39" spans="1:8" ht="24.9" customHeight="1" x14ac:dyDescent="0.25">
      <c r="A39" s="137" t="s">
        <v>479</v>
      </c>
      <c r="B39" s="137" t="s">
        <v>389</v>
      </c>
      <c r="C39" s="137" t="s">
        <v>390</v>
      </c>
      <c r="D39" s="137"/>
      <c r="E39" s="137" t="s">
        <v>381</v>
      </c>
      <c r="F39" s="138"/>
      <c r="G39" s="137"/>
      <c r="H39" s="137" t="s">
        <v>480</v>
      </c>
    </row>
    <row r="40" spans="1:8" ht="102" customHeight="1" x14ac:dyDescent="0.25">
      <c r="A40" s="135" t="s">
        <v>481</v>
      </c>
      <c r="B40" s="135" t="s">
        <v>389</v>
      </c>
      <c r="C40" s="135" t="s">
        <v>390</v>
      </c>
      <c r="D40" s="135"/>
      <c r="E40" s="135" t="s">
        <v>321</v>
      </c>
      <c r="F40" s="136"/>
      <c r="G40" s="135" t="s">
        <v>482</v>
      </c>
      <c r="H40" s="135" t="s">
        <v>483</v>
      </c>
    </row>
    <row r="41" spans="1:8" ht="165.9" customHeight="1" x14ac:dyDescent="0.25">
      <c r="A41" s="137" t="s">
        <v>484</v>
      </c>
      <c r="B41" s="137" t="s">
        <v>389</v>
      </c>
      <c r="C41" s="137" t="s">
        <v>390</v>
      </c>
      <c r="D41" s="137"/>
      <c r="E41" s="137" t="s">
        <v>312</v>
      </c>
      <c r="F41" s="138"/>
      <c r="G41" s="137" t="s">
        <v>485</v>
      </c>
      <c r="H41" s="137" t="s">
        <v>486</v>
      </c>
    </row>
    <row r="42" spans="1:8" ht="114.9" customHeight="1" x14ac:dyDescent="0.25">
      <c r="A42" s="135" t="s">
        <v>82</v>
      </c>
      <c r="B42" s="135" t="s">
        <v>389</v>
      </c>
      <c r="C42" s="135" t="s">
        <v>390</v>
      </c>
      <c r="D42" s="135"/>
      <c r="E42" s="135" t="s">
        <v>232</v>
      </c>
      <c r="F42" s="136"/>
      <c r="G42" s="135" t="s">
        <v>487</v>
      </c>
      <c r="H42" s="135" t="s">
        <v>488</v>
      </c>
    </row>
    <row r="43" spans="1:8" ht="165.9" customHeight="1" x14ac:dyDescent="0.25">
      <c r="A43" s="137" t="s">
        <v>489</v>
      </c>
      <c r="B43" s="137" t="s">
        <v>389</v>
      </c>
      <c r="C43" s="137"/>
      <c r="D43" s="137"/>
      <c r="E43" s="137" t="s">
        <v>314</v>
      </c>
      <c r="F43" s="138"/>
      <c r="G43" s="137" t="s">
        <v>485</v>
      </c>
      <c r="H43" s="137" t="s">
        <v>490</v>
      </c>
    </row>
    <row r="44" spans="1:8" ht="102" customHeight="1" x14ac:dyDescent="0.25">
      <c r="A44" s="135" t="s">
        <v>143</v>
      </c>
      <c r="B44" s="135" t="s">
        <v>389</v>
      </c>
      <c r="C44" s="135" t="s">
        <v>390</v>
      </c>
      <c r="D44" s="135"/>
      <c r="E44" s="135" t="s">
        <v>366</v>
      </c>
      <c r="F44" s="136"/>
      <c r="G44" s="135" t="s">
        <v>491</v>
      </c>
      <c r="H44" s="135" t="s">
        <v>492</v>
      </c>
    </row>
    <row r="45" spans="1:8" ht="114.9" customHeight="1" x14ac:dyDescent="0.25">
      <c r="A45" s="137" t="s">
        <v>141</v>
      </c>
      <c r="B45" s="137" t="s">
        <v>389</v>
      </c>
      <c r="C45" s="137" t="s">
        <v>390</v>
      </c>
      <c r="D45" s="137"/>
      <c r="E45" s="137" t="s">
        <v>365</v>
      </c>
      <c r="F45" s="138"/>
      <c r="G45" s="137" t="s">
        <v>493</v>
      </c>
      <c r="H45" s="137" t="s">
        <v>494</v>
      </c>
    </row>
    <row r="46" spans="1:8" ht="102" customHeight="1" x14ac:dyDescent="0.25">
      <c r="A46" s="135" t="s">
        <v>147</v>
      </c>
      <c r="B46" s="135" t="s">
        <v>389</v>
      </c>
      <c r="C46" s="135" t="s">
        <v>390</v>
      </c>
      <c r="D46" s="135"/>
      <c r="E46" s="135" t="s">
        <v>311</v>
      </c>
      <c r="F46" s="136"/>
      <c r="G46" s="135" t="s">
        <v>495</v>
      </c>
      <c r="H46" s="135" t="s">
        <v>496</v>
      </c>
    </row>
    <row r="47" spans="1:8" ht="102" customHeight="1" x14ac:dyDescent="0.25">
      <c r="A47" s="137" t="s">
        <v>145</v>
      </c>
      <c r="B47" s="137" t="s">
        <v>389</v>
      </c>
      <c r="C47" s="137" t="s">
        <v>390</v>
      </c>
      <c r="D47" s="137"/>
      <c r="E47" s="137" t="s">
        <v>310</v>
      </c>
      <c r="F47" s="138"/>
      <c r="G47" s="137" t="s">
        <v>497</v>
      </c>
      <c r="H47" s="137" t="s">
        <v>498</v>
      </c>
    </row>
    <row r="48" spans="1:8" ht="153" customHeight="1" x14ac:dyDescent="0.25">
      <c r="A48" s="135" t="s">
        <v>499</v>
      </c>
      <c r="B48" s="135" t="s">
        <v>389</v>
      </c>
      <c r="C48" s="135" t="s">
        <v>390</v>
      </c>
      <c r="D48" s="135"/>
      <c r="E48" s="135" t="s">
        <v>339</v>
      </c>
      <c r="F48" s="136"/>
      <c r="G48" s="135" t="s">
        <v>500</v>
      </c>
      <c r="H48" s="135" t="s">
        <v>501</v>
      </c>
    </row>
    <row r="49" spans="1:8" ht="24.9" customHeight="1" x14ac:dyDescent="0.25">
      <c r="A49" s="137" t="s">
        <v>502</v>
      </c>
      <c r="B49" s="137" t="s">
        <v>389</v>
      </c>
      <c r="C49" s="137" t="s">
        <v>390</v>
      </c>
      <c r="D49" s="137"/>
      <c r="E49" s="137" t="s">
        <v>317</v>
      </c>
      <c r="F49" s="138"/>
      <c r="G49" s="137" t="s">
        <v>394</v>
      </c>
      <c r="H49" s="137" t="s">
        <v>503</v>
      </c>
    </row>
    <row r="50" spans="1:8" ht="24.9" customHeight="1" x14ac:dyDescent="0.25">
      <c r="A50" s="135" t="s">
        <v>504</v>
      </c>
      <c r="B50" s="135" t="s">
        <v>389</v>
      </c>
      <c r="C50" s="135"/>
      <c r="D50" s="135"/>
      <c r="E50" s="135" t="s">
        <v>313</v>
      </c>
      <c r="F50" s="136"/>
      <c r="G50" s="135" t="s">
        <v>394</v>
      </c>
      <c r="H50" s="135" t="s">
        <v>505</v>
      </c>
    </row>
    <row r="51" spans="1:8" ht="24.9" customHeight="1" x14ac:dyDescent="0.25">
      <c r="A51" s="137" t="s">
        <v>121</v>
      </c>
      <c r="B51" s="137" t="s">
        <v>389</v>
      </c>
      <c r="C51" s="137" t="s">
        <v>390</v>
      </c>
      <c r="D51" s="137"/>
      <c r="E51" s="137" t="s">
        <v>307</v>
      </c>
      <c r="F51" s="138"/>
      <c r="G51" s="137" t="s">
        <v>506</v>
      </c>
      <c r="H51" s="137" t="s">
        <v>507</v>
      </c>
    </row>
    <row r="52" spans="1:8" ht="75.900000000000006" customHeight="1" x14ac:dyDescent="0.25">
      <c r="A52" s="135" t="s">
        <v>73</v>
      </c>
      <c r="B52" s="135" t="s">
        <v>389</v>
      </c>
      <c r="C52" s="135" t="s">
        <v>390</v>
      </c>
      <c r="D52" s="135" t="s">
        <v>508</v>
      </c>
      <c r="E52" s="135" t="s">
        <v>352</v>
      </c>
      <c r="F52" s="136"/>
      <c r="G52" s="135" t="s">
        <v>509</v>
      </c>
      <c r="H52" s="135" t="s">
        <v>510</v>
      </c>
    </row>
    <row r="53" spans="1:8" ht="24.9" customHeight="1" x14ac:dyDescent="0.25">
      <c r="A53" s="137" t="s">
        <v>93</v>
      </c>
      <c r="B53" s="137" t="s">
        <v>389</v>
      </c>
      <c r="C53" s="137" t="s">
        <v>390</v>
      </c>
      <c r="D53" s="137"/>
      <c r="E53" s="137" t="s">
        <v>296</v>
      </c>
      <c r="F53" s="138"/>
      <c r="G53" s="137" t="s">
        <v>511</v>
      </c>
      <c r="H53" s="137" t="s">
        <v>512</v>
      </c>
    </row>
    <row r="54" spans="1:8" ht="51" customHeight="1" x14ac:dyDescent="0.25">
      <c r="A54" s="135" t="s">
        <v>513</v>
      </c>
      <c r="B54" s="135" t="s">
        <v>389</v>
      </c>
      <c r="C54" s="135" t="s">
        <v>390</v>
      </c>
      <c r="D54" s="135" t="s">
        <v>514</v>
      </c>
      <c r="E54" s="135" t="s">
        <v>249</v>
      </c>
      <c r="F54" s="136"/>
      <c r="G54" s="135" t="s">
        <v>515</v>
      </c>
      <c r="H54" s="135" t="s">
        <v>516</v>
      </c>
    </row>
    <row r="55" spans="1:8" ht="89.1" customHeight="1" x14ac:dyDescent="0.25">
      <c r="A55" s="137" t="s">
        <v>137</v>
      </c>
      <c r="B55" s="137" t="s">
        <v>389</v>
      </c>
      <c r="C55" s="137" t="s">
        <v>390</v>
      </c>
      <c r="D55" s="137" t="s">
        <v>517</v>
      </c>
      <c r="E55" s="137" t="s">
        <v>300</v>
      </c>
      <c r="F55" s="138"/>
      <c r="G55" s="137" t="s">
        <v>518</v>
      </c>
      <c r="H55" s="137" t="s">
        <v>519</v>
      </c>
    </row>
    <row r="56" spans="1:8" ht="24.9" customHeight="1" x14ac:dyDescent="0.25">
      <c r="A56" s="135" t="s">
        <v>60</v>
      </c>
      <c r="B56" s="135" t="s">
        <v>389</v>
      </c>
      <c r="C56" s="135"/>
      <c r="D56" s="135"/>
      <c r="E56" s="135" t="s">
        <v>329</v>
      </c>
      <c r="F56" s="136"/>
      <c r="G56" s="135" t="s">
        <v>520</v>
      </c>
      <c r="H56" s="135" t="s">
        <v>521</v>
      </c>
    </row>
    <row r="57" spans="1:8" ht="38.1" customHeight="1" x14ac:dyDescent="0.25">
      <c r="A57" s="137" t="s">
        <v>290</v>
      </c>
      <c r="B57" s="137" t="s">
        <v>389</v>
      </c>
      <c r="C57" s="137" t="s">
        <v>390</v>
      </c>
      <c r="D57" s="137"/>
      <c r="E57" s="137" t="s">
        <v>377</v>
      </c>
      <c r="F57" s="138"/>
      <c r="G57" s="137" t="s">
        <v>522</v>
      </c>
      <c r="H57" s="137" t="s">
        <v>523</v>
      </c>
    </row>
    <row r="58" spans="1:8" ht="38.1" customHeight="1" x14ac:dyDescent="0.25">
      <c r="A58" s="135" t="s">
        <v>135</v>
      </c>
      <c r="B58" s="135" t="s">
        <v>389</v>
      </c>
      <c r="C58" s="135" t="s">
        <v>390</v>
      </c>
      <c r="D58" s="135" t="s">
        <v>524</v>
      </c>
      <c r="E58" s="135" t="s">
        <v>334</v>
      </c>
      <c r="F58" s="136"/>
      <c r="G58" s="135" t="s">
        <v>525</v>
      </c>
      <c r="H58" s="135" t="s">
        <v>526</v>
      </c>
    </row>
    <row r="59" spans="1:8" ht="38.1" customHeight="1" x14ac:dyDescent="0.25">
      <c r="A59" s="137" t="s">
        <v>288</v>
      </c>
      <c r="B59" s="137" t="s">
        <v>389</v>
      </c>
      <c r="C59" s="137" t="s">
        <v>390</v>
      </c>
      <c r="D59" s="137"/>
      <c r="E59" s="137" t="s">
        <v>373</v>
      </c>
      <c r="F59" s="138"/>
      <c r="G59" s="137" t="s">
        <v>527</v>
      </c>
      <c r="H59" s="137" t="s">
        <v>528</v>
      </c>
    </row>
    <row r="60" spans="1:8" ht="24.9" customHeight="1" x14ac:dyDescent="0.25">
      <c r="A60" s="135" t="s">
        <v>289</v>
      </c>
      <c r="B60" s="135" t="s">
        <v>389</v>
      </c>
      <c r="C60" s="135" t="s">
        <v>390</v>
      </c>
      <c r="D60" s="135"/>
      <c r="E60" s="135" t="s">
        <v>375</v>
      </c>
      <c r="F60" s="136"/>
      <c r="G60" s="135" t="s">
        <v>529</v>
      </c>
      <c r="H60" s="135" t="s">
        <v>530</v>
      </c>
    </row>
    <row r="61" spans="1:8" ht="24.9" customHeight="1" x14ac:dyDescent="0.25">
      <c r="A61" s="137" t="s">
        <v>112</v>
      </c>
      <c r="B61" s="137" t="s">
        <v>389</v>
      </c>
      <c r="C61" s="137" t="s">
        <v>390</v>
      </c>
      <c r="D61" s="137"/>
      <c r="E61" s="137" t="s">
        <v>324</v>
      </c>
      <c r="F61" s="138"/>
      <c r="G61" s="137" t="s">
        <v>531</v>
      </c>
      <c r="H61" s="137" t="s">
        <v>532</v>
      </c>
    </row>
    <row r="62" spans="1:8" ht="75.900000000000006" customHeight="1" x14ac:dyDescent="0.25">
      <c r="A62" s="135" t="s">
        <v>533</v>
      </c>
      <c r="B62" s="135" t="s">
        <v>389</v>
      </c>
      <c r="C62" s="135"/>
      <c r="D62" s="135"/>
      <c r="E62" s="135" t="s">
        <v>243</v>
      </c>
      <c r="F62" s="139">
        <v>1</v>
      </c>
      <c r="G62" s="135" t="s">
        <v>534</v>
      </c>
      <c r="H62" s="135" t="s">
        <v>535</v>
      </c>
    </row>
    <row r="63" spans="1:8" ht="24.9" customHeight="1" x14ac:dyDescent="0.25">
      <c r="A63" s="137" t="s">
        <v>533</v>
      </c>
      <c r="B63" s="137" t="s">
        <v>389</v>
      </c>
      <c r="C63" s="137" t="s">
        <v>390</v>
      </c>
      <c r="D63" s="137"/>
      <c r="E63" s="137" t="s">
        <v>536</v>
      </c>
      <c r="F63" s="140">
        <v>1</v>
      </c>
      <c r="G63" s="137" t="s">
        <v>394</v>
      </c>
      <c r="H63" s="137" t="s">
        <v>537</v>
      </c>
    </row>
    <row r="64" spans="1:8" ht="51" customHeight="1" x14ac:dyDescent="0.25">
      <c r="A64" s="135" t="s">
        <v>538</v>
      </c>
      <c r="B64" s="135" t="s">
        <v>389</v>
      </c>
      <c r="C64" s="135" t="s">
        <v>390</v>
      </c>
      <c r="D64" s="135"/>
      <c r="E64" s="150" t="s">
        <v>343</v>
      </c>
      <c r="F64" s="139">
        <v>0.41999998688697815</v>
      </c>
      <c r="G64" s="135" t="s">
        <v>539</v>
      </c>
      <c r="H64" s="135" t="s">
        <v>540</v>
      </c>
    </row>
    <row r="65" spans="1:8" ht="51" customHeight="1" x14ac:dyDescent="0.25">
      <c r="A65" s="137" t="s">
        <v>538</v>
      </c>
      <c r="B65" s="137" t="s">
        <v>389</v>
      </c>
      <c r="C65" s="137" t="s">
        <v>390</v>
      </c>
      <c r="D65" s="137"/>
      <c r="E65" s="137" t="s">
        <v>236</v>
      </c>
      <c r="F65" s="140"/>
      <c r="G65" s="137" t="s">
        <v>539</v>
      </c>
      <c r="H65" s="137" t="s">
        <v>541</v>
      </c>
    </row>
    <row r="66" spans="1:8" ht="24.9" customHeight="1" x14ac:dyDescent="0.25">
      <c r="A66" s="135" t="s">
        <v>117</v>
      </c>
      <c r="B66" s="135" t="s">
        <v>389</v>
      </c>
      <c r="C66" s="135" t="s">
        <v>390</v>
      </c>
      <c r="D66" s="135"/>
      <c r="E66" s="135" t="s">
        <v>333</v>
      </c>
      <c r="F66" s="139"/>
      <c r="G66" s="135" t="s">
        <v>542</v>
      </c>
      <c r="H66" s="135" t="s">
        <v>543</v>
      </c>
    </row>
    <row r="67" spans="1:8" ht="128.1" customHeight="1" x14ac:dyDescent="0.25">
      <c r="A67" s="137" t="s">
        <v>544</v>
      </c>
      <c r="B67" s="137" t="s">
        <v>389</v>
      </c>
      <c r="C67" s="137" t="s">
        <v>390</v>
      </c>
      <c r="D67" s="137" t="s">
        <v>545</v>
      </c>
      <c r="E67" s="137" t="s">
        <v>368</v>
      </c>
      <c r="F67" s="140"/>
      <c r="G67" s="137" t="s">
        <v>546</v>
      </c>
      <c r="H67" s="137" t="s">
        <v>547</v>
      </c>
    </row>
    <row r="68" spans="1:8" ht="24.9" customHeight="1" x14ac:dyDescent="0.25">
      <c r="A68" s="135" t="s">
        <v>79</v>
      </c>
      <c r="B68" s="135" t="s">
        <v>389</v>
      </c>
      <c r="C68" s="135" t="s">
        <v>390</v>
      </c>
      <c r="D68" s="135"/>
      <c r="E68" s="135" t="s">
        <v>361</v>
      </c>
      <c r="F68" s="139"/>
      <c r="G68" s="135" t="s">
        <v>548</v>
      </c>
      <c r="H68" s="135" t="s">
        <v>549</v>
      </c>
    </row>
    <row r="69" spans="1:8" ht="38.1" customHeight="1" x14ac:dyDescent="0.25">
      <c r="A69" s="137" t="s">
        <v>56</v>
      </c>
      <c r="B69" s="137" t="s">
        <v>389</v>
      </c>
      <c r="C69" s="137" t="s">
        <v>390</v>
      </c>
      <c r="D69" s="137"/>
      <c r="E69" s="137" t="s">
        <v>309</v>
      </c>
      <c r="F69" s="140"/>
      <c r="G69" s="137" t="s">
        <v>550</v>
      </c>
      <c r="H69" s="137" t="s">
        <v>551</v>
      </c>
    </row>
    <row r="70" spans="1:8" ht="24.9" customHeight="1" x14ac:dyDescent="0.25">
      <c r="A70" s="135" t="s">
        <v>115</v>
      </c>
      <c r="B70" s="135" t="s">
        <v>389</v>
      </c>
      <c r="C70" s="135" t="s">
        <v>390</v>
      </c>
      <c r="D70" s="135"/>
      <c r="E70" s="135" t="s">
        <v>331</v>
      </c>
      <c r="F70" s="139"/>
      <c r="G70" s="135" t="s">
        <v>552</v>
      </c>
      <c r="H70" s="135" t="s">
        <v>553</v>
      </c>
    </row>
    <row r="71" spans="1:8" ht="24.9" customHeight="1" x14ac:dyDescent="0.25">
      <c r="A71" s="137" t="s">
        <v>90</v>
      </c>
      <c r="B71" s="137" t="s">
        <v>389</v>
      </c>
      <c r="C71" s="137" t="s">
        <v>390</v>
      </c>
      <c r="D71" s="137"/>
      <c r="E71" s="137" t="s">
        <v>305</v>
      </c>
      <c r="F71" s="140"/>
      <c r="G71" s="137" t="s">
        <v>554</v>
      </c>
      <c r="H71" s="137" t="s">
        <v>555</v>
      </c>
    </row>
    <row r="72" spans="1:8" ht="75.900000000000006" customHeight="1" x14ac:dyDescent="0.25">
      <c r="A72" s="135" t="s">
        <v>556</v>
      </c>
      <c r="B72" s="135" t="s">
        <v>389</v>
      </c>
      <c r="C72" s="135"/>
      <c r="D72" s="135"/>
      <c r="E72" s="135" t="s">
        <v>557</v>
      </c>
      <c r="F72" s="139"/>
      <c r="G72" s="135" t="s">
        <v>558</v>
      </c>
      <c r="H72" s="135" t="s">
        <v>559</v>
      </c>
    </row>
    <row r="73" spans="1:8" ht="51" customHeight="1" x14ac:dyDescent="0.25">
      <c r="A73" s="137" t="s">
        <v>560</v>
      </c>
      <c r="B73" s="137" t="s">
        <v>389</v>
      </c>
      <c r="C73" s="137"/>
      <c r="D73" s="137"/>
      <c r="E73" s="137" t="s">
        <v>325</v>
      </c>
      <c r="F73" s="140">
        <v>0.5</v>
      </c>
      <c r="G73" s="137" t="s">
        <v>561</v>
      </c>
      <c r="H73" s="137" t="s">
        <v>562</v>
      </c>
    </row>
    <row r="74" spans="1:8" ht="24.9" customHeight="1" x14ac:dyDescent="0.25">
      <c r="A74" s="135" t="s">
        <v>560</v>
      </c>
      <c r="B74" s="135" t="s">
        <v>389</v>
      </c>
      <c r="C74" s="135" t="s">
        <v>390</v>
      </c>
      <c r="D74" s="135"/>
      <c r="E74" s="135" t="s">
        <v>326</v>
      </c>
      <c r="F74" s="139">
        <v>0.5</v>
      </c>
      <c r="G74" s="135" t="s">
        <v>394</v>
      </c>
      <c r="H74" s="135" t="s">
        <v>563</v>
      </c>
    </row>
    <row r="75" spans="1:8" ht="24.9" customHeight="1" x14ac:dyDescent="0.25">
      <c r="A75" s="137" t="s">
        <v>83</v>
      </c>
      <c r="B75" s="137" t="s">
        <v>389</v>
      </c>
      <c r="C75" s="137" t="s">
        <v>390</v>
      </c>
      <c r="D75" s="137"/>
      <c r="E75" s="137" t="s">
        <v>363</v>
      </c>
      <c r="F75" s="140"/>
      <c r="G75" s="137" t="s">
        <v>564</v>
      </c>
      <c r="H75" s="137" t="s">
        <v>565</v>
      </c>
    </row>
    <row r="76" spans="1:8" ht="24.9" customHeight="1" x14ac:dyDescent="0.25">
      <c r="A76" s="135" t="s">
        <v>67</v>
      </c>
      <c r="B76" s="135" t="s">
        <v>389</v>
      </c>
      <c r="C76" s="135" t="s">
        <v>390</v>
      </c>
      <c r="D76" s="135"/>
      <c r="E76" s="135" t="s">
        <v>349</v>
      </c>
      <c r="F76" s="139"/>
      <c r="G76" s="135" t="s">
        <v>566</v>
      </c>
      <c r="H76" s="135" t="s">
        <v>567</v>
      </c>
    </row>
    <row r="77" spans="1:8" ht="24.9" customHeight="1" x14ac:dyDescent="0.25">
      <c r="A77" s="137" t="s">
        <v>64</v>
      </c>
      <c r="B77" s="137" t="s">
        <v>389</v>
      </c>
      <c r="C77" s="137" t="s">
        <v>390</v>
      </c>
      <c r="D77" s="137"/>
      <c r="E77" s="137" t="s">
        <v>338</v>
      </c>
      <c r="F77" s="140"/>
      <c r="G77" s="137" t="s">
        <v>568</v>
      </c>
      <c r="H77" s="137" t="s">
        <v>569</v>
      </c>
    </row>
    <row r="78" spans="1:8" ht="24.9" customHeight="1" x14ac:dyDescent="0.25">
      <c r="A78" s="135" t="s">
        <v>95</v>
      </c>
      <c r="B78" s="135" t="s">
        <v>389</v>
      </c>
      <c r="C78" s="135" t="s">
        <v>390</v>
      </c>
      <c r="D78" s="135"/>
      <c r="E78" s="135" t="s">
        <v>298</v>
      </c>
      <c r="F78" s="139"/>
      <c r="G78" s="135" t="s">
        <v>570</v>
      </c>
      <c r="H78" s="135" t="s">
        <v>571</v>
      </c>
    </row>
  </sheetData>
  <pageMargins left="0" right="0" top="0" bottom="0" header="0" footer="0"/>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77571e-348a-4a41-ae4f-751633edf0ab">
      <Terms xmlns="http://schemas.microsoft.com/office/infopath/2007/PartnerControls"/>
    </lcf76f155ced4ddcb4097134ff3c332f>
    <TaxCatchAll xmlns="cf702266-44d4-4d24-8729-674f03bf7617" xsi:nil="true"/>
    <bc78fdecb2e240aba855f30e889c002b xmlns="f377571e-348a-4a41-ae4f-751633edf0ab">
      <Terms xmlns="http://schemas.microsoft.com/office/infopath/2007/PartnerControls"/>
    </bc78fdecb2e240aba855f30e889c002b>
    <Tags xmlns="f377571e-348a-4a41-ae4f-751633edf0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C0FB5998A19E144988DF3734FEC42B1" ma:contentTypeVersion="21" ma:contentTypeDescription="Create a new document." ma:contentTypeScope="" ma:versionID="562a5cbe4cb460822474b48c31612d9c">
  <xsd:schema xmlns:xsd="http://www.w3.org/2001/XMLSchema" xmlns:xs="http://www.w3.org/2001/XMLSchema" xmlns:p="http://schemas.microsoft.com/office/2006/metadata/properties" xmlns:ns2="f377571e-348a-4a41-ae4f-751633edf0ab" xmlns:ns3="cf702266-44d4-4d24-8729-674f03bf7617" targetNamespace="http://schemas.microsoft.com/office/2006/metadata/properties" ma:root="true" ma:fieldsID="97cbd17d2f9e6c19c683fd7395dba0f5" ns2:_="" ns3:_="">
    <xsd:import namespace="f377571e-348a-4a41-ae4f-751633edf0ab"/>
    <xsd:import namespace="cf702266-44d4-4d24-8729-674f03bf76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ServiceLocation" minOccurs="0"/>
                <xsd:element ref="ns2:MediaLengthInSeconds" minOccurs="0"/>
                <xsd:element ref="ns2:bc78fdecb2e240aba855f30e889c002b" minOccurs="0"/>
                <xsd:element ref="ns3:TaxCatchAll" minOccurs="0"/>
                <xsd:element ref="ns2:Tags"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77571e-348a-4a41-ae4f-751633edf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c78fdecb2e240aba855f30e889c002b" ma:index="22" nillable="true" ma:taxonomy="true" ma:internalName="bc78fdecb2e240aba855f30e889c002b" ma:taxonomyFieldName="Content_x0020_Type" ma:displayName="Content Type" ma:default="" ma:fieldId="{bc78fdec-b2e2-40ab-a855-f30e889c002b}" ma:sspId="2ca3f799-1a95-413a-9635-5642501b3711" ma:termSetId="1a43a39d-bd2c-4242-b9b7-9617bc556f38" ma:anchorId="00000000-0000-0000-0000-000000000000" ma:open="true" ma:isKeyword="false">
      <xsd:complexType>
        <xsd:sequence>
          <xsd:element ref="pc:Terms" minOccurs="0" maxOccurs="1"/>
        </xsd:sequence>
      </xsd:complexType>
    </xsd:element>
    <xsd:element name="Tags" ma:index="24" nillable="true" ma:displayName="Tags" ma:internalName="Tags">
      <xsd:simpleType>
        <xsd:restriction base="dms:Note">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a3f799-1a95-413a-9635-5642501b37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702266-44d4-4d24-8729-674f03bf76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4aa5d48-c120-4482-b5a8-dfe0b6d98e3e}" ma:internalName="TaxCatchAll" ma:showField="CatchAllData" ma:web="cf702266-44d4-4d24-8729-674f03bf76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5BA22-F96B-458E-A59F-6245B0A6D60B}">
  <ds:schemaRefs>
    <ds:schemaRef ds:uri="http://schemas.microsoft.com/sharepoint/v3/contenttype/forms"/>
  </ds:schemaRefs>
</ds:datastoreItem>
</file>

<file path=customXml/itemProps2.xml><?xml version="1.0" encoding="utf-8"?>
<ds:datastoreItem xmlns:ds="http://schemas.openxmlformats.org/officeDocument/2006/customXml" ds:itemID="{169A922A-D857-4F4E-BF97-789815410C0D}">
  <ds:schemaRefs>
    <ds:schemaRef ds:uri="http://schemas.microsoft.com/office/2006/metadata/properties"/>
    <ds:schemaRef ds:uri="http://schemas.microsoft.com/office/infopath/2007/PartnerControls"/>
    <ds:schemaRef ds:uri="f377571e-348a-4a41-ae4f-751633edf0ab"/>
    <ds:schemaRef ds:uri="cf702266-44d4-4d24-8729-674f03bf7617"/>
  </ds:schemaRefs>
</ds:datastoreItem>
</file>

<file path=customXml/itemProps3.xml><?xml version="1.0" encoding="utf-8"?>
<ds:datastoreItem xmlns:ds="http://schemas.openxmlformats.org/officeDocument/2006/customXml" ds:itemID="{5D7307BB-0F45-4D8B-8DD3-711979622B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77571e-348a-4a41-ae4f-751633edf0ab"/>
    <ds:schemaRef ds:uri="cf702266-44d4-4d24-8729-674f03bf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Colour Guide</vt:lpstr>
      <vt:lpstr>Regent</vt:lpstr>
      <vt:lpstr>InterContinental</vt:lpstr>
      <vt:lpstr>Kimpton</vt:lpstr>
      <vt:lpstr>Vignette</vt:lpstr>
      <vt:lpstr>Hotel Indigo</vt:lpstr>
      <vt:lpstr>voco</vt:lpstr>
      <vt:lpstr>Crowne Plaza</vt:lpstr>
      <vt:lpstr>EVEN Hotels</vt:lpstr>
      <vt:lpstr>Holiday Inn</vt:lpstr>
      <vt:lpstr>Holiday Inn Express</vt:lpstr>
      <vt:lpstr>avid Hotels</vt:lpstr>
      <vt:lpstr>Garner</vt:lpstr>
      <vt:lpstr>Atwell Suites</vt:lpstr>
      <vt:lpstr>Staybridge Suites</vt:lpstr>
      <vt:lpstr>Candlewood Suites</vt:lpstr>
      <vt:lpstr>All Courses</vt:lpstr>
      <vt:lpstr>OJT IDs</vt:lpstr>
      <vt:lpstr>OJT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Cuff, Jacqui (IHG)</dc:creator>
  <cp:keywords/>
  <dc:description/>
  <cp:lastModifiedBy>Hose, Brandon</cp:lastModifiedBy>
  <cp:revision/>
  <dcterms:created xsi:type="dcterms:W3CDTF">2023-10-30T18:21:11Z</dcterms:created>
  <dcterms:modified xsi:type="dcterms:W3CDTF">2024-07-17T22:14:52Z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0x010100EC0FB5998A19E144988DF3734FEC42B1</vt:lpwstr>
  </property>
  <property fmtid="{D5CDD505-2E9C-101B-9397-08002B2CF9AE}" pid="3" name="MediaServiceImageTags">
    <vt:lpwstr/>
  </property>
  <property fmtid="{D5CDD505-2E9C-101B-9397-08002B2CF9AE}" pid="4" name="Content Type">
    <vt:lpwstr/>
  </property>
</Properties>
</file>