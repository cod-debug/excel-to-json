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ihg.sharepoint.com/sites/GlobalLearning_BrandsandService/Shared Documents/General/6_Projects in the Works/SOH1203_NHOP - Required Training Dashboard/5_Deployment/Data Entry Files - New Colleague Learning Guide/"/>
    </mc:Choice>
  </mc:AlternateContent>
  <xr:revisionPtr revIDLastSave="1001" documentId="8_{E7B629B4-A370-4D1E-AE4C-EC6CD77796EF}" xr6:coauthVersionLast="47" xr6:coauthVersionMax="47" xr10:uidLastSave="{B0218E2A-569A-437C-8735-3DA81E6B9E1D}"/>
  <bookViews>
    <workbookView xWindow="-120" yWindow="-120" windowWidth="29040" windowHeight="15525" tabRatio="898" activeTab="1" xr2:uid="{A20E3CA5-7A46-443B-849E-145CA743A390}"/>
  </bookViews>
  <sheets>
    <sheet name="Colour Guide" sheetId="14" r:id="rId1"/>
    <sheet name="Garner" sheetId="24" r:id="rId2"/>
    <sheet name="Holiday Inn Express" sheetId="1" r:id="rId3"/>
    <sheet name="Holiday Inn" sheetId="3" r:id="rId4"/>
    <sheet name="Staybridge Suites" sheetId="5" r:id="rId5"/>
    <sheet name="voco" sheetId="8" r:id="rId6"/>
    <sheet name="Crowne Plaza" sheetId="9" r:id="rId7"/>
    <sheet name="Hotel Indigo" sheetId="10" r:id="rId8"/>
    <sheet name="Vignette Collection" sheetId="12" r:id="rId9"/>
    <sheet name="InterContinental " sheetId="13" r:id="rId10"/>
    <sheet name="Regent" sheetId="21" r:id="rId11"/>
    <sheet name="Kimpton" sheetId="22" r:id="rId12"/>
    <sheet name="Candlewood Suites" sheetId="19" r:id="rId13"/>
    <sheet name="IHG Unbranded" sheetId="17" r:id="rId14"/>
    <sheet name="Lookups" sheetId="23" r:id="rId15"/>
  </sheets>
  <externalReferences>
    <externalReference r:id="rId16"/>
  </externalReferences>
  <definedNames>
    <definedName name="_xlnm._FilterDatabase" localSheetId="6" hidden="1">'Crowne Plaza'!$A$1:$J$1</definedName>
    <definedName name="_xlnm._FilterDatabase" localSheetId="1" hidden="1">Garner!$A$1:$S$19</definedName>
    <definedName name="_xlnm._FilterDatabase" localSheetId="3" hidden="1">'Holiday Inn'!$A$1:$G$1</definedName>
    <definedName name="_xlnm._FilterDatabase" localSheetId="2" hidden="1">'Holiday Inn Express'!$A$1:$S$20</definedName>
    <definedName name="_xlnm._FilterDatabase" localSheetId="7" hidden="1">'Hotel Indigo'!$A$1:$S$7</definedName>
    <definedName name="_xlnm._FilterDatabase" localSheetId="9" hidden="1">'InterContinental '!$A$1:$S$2</definedName>
    <definedName name="_xlnm._FilterDatabase" localSheetId="14" hidden="1">Lookups!$F$1:$H$101</definedName>
    <definedName name="_xlnm._FilterDatabase" localSheetId="4" hidden="1">'Staybridge Suites'!$A$1:$G$3</definedName>
    <definedName name="_xlnm._FilterDatabase" localSheetId="8" hidden="1">'Vignette Collection'!$A$1:$F$1</definedName>
    <definedName name="_xlnm._FilterDatabase" localSheetId="5" hidden="1">voco!#REF!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" i="22" l="1"/>
  <c r="F44" i="22"/>
  <c r="F43" i="22"/>
  <c r="F46" i="22"/>
  <c r="F46" i="21"/>
  <c r="F45" i="21"/>
  <c r="F44" i="21"/>
  <c r="F43" i="21"/>
  <c r="F48" i="13"/>
  <c r="F47" i="13"/>
  <c r="F46" i="13"/>
  <c r="F45" i="13"/>
  <c r="F43" i="12"/>
  <c r="F44" i="12"/>
  <c r="F45" i="12"/>
  <c r="F46" i="12"/>
  <c r="F51" i="10"/>
  <c r="F50" i="10"/>
  <c r="F49" i="10"/>
  <c r="F48" i="10"/>
  <c r="F45" i="10"/>
  <c r="F44" i="10"/>
  <c r="F43" i="10"/>
  <c r="F42" i="10"/>
  <c r="F42" i="17"/>
  <c r="F41" i="17"/>
  <c r="F40" i="17"/>
  <c r="F39" i="17"/>
  <c r="F38" i="17"/>
  <c r="F37" i="17"/>
  <c r="F36" i="17"/>
  <c r="F35" i="17"/>
  <c r="F34" i="17"/>
  <c r="F33" i="17"/>
  <c r="F32" i="17"/>
  <c r="F31" i="17"/>
  <c r="F30" i="17"/>
  <c r="F29" i="17"/>
  <c r="F28" i="17"/>
  <c r="F27" i="17"/>
  <c r="F26" i="17"/>
  <c r="F25" i="17"/>
  <c r="F24" i="17"/>
  <c r="F23" i="17"/>
  <c r="F22" i="17"/>
  <c r="F21" i="17"/>
  <c r="F20" i="17"/>
  <c r="F19" i="17"/>
  <c r="F18" i="17"/>
  <c r="F17" i="17"/>
  <c r="F16" i="17"/>
  <c r="F15" i="17"/>
  <c r="F14" i="17"/>
  <c r="F13" i="17"/>
  <c r="F12" i="17"/>
  <c r="F11" i="17"/>
  <c r="F10" i="17"/>
  <c r="F9" i="17"/>
  <c r="F2" i="17"/>
  <c r="F41" i="19"/>
  <c r="F40" i="19"/>
  <c r="F39" i="19"/>
  <c r="F38" i="19"/>
  <c r="F37" i="19"/>
  <c r="F36" i="19"/>
  <c r="F35" i="19"/>
  <c r="F34" i="19"/>
  <c r="F33" i="19"/>
  <c r="F32" i="19"/>
  <c r="F31" i="19"/>
  <c r="F30" i="19"/>
  <c r="F29" i="19"/>
  <c r="F28" i="19"/>
  <c r="F27" i="19"/>
  <c r="F26" i="19"/>
  <c r="F25" i="19"/>
  <c r="F24" i="19"/>
  <c r="F23" i="19"/>
  <c r="F22" i="19"/>
  <c r="F21" i="19"/>
  <c r="F20" i="19"/>
  <c r="F19" i="19"/>
  <c r="F18" i="19"/>
  <c r="F17" i="19"/>
  <c r="F16" i="19"/>
  <c r="F15" i="19"/>
  <c r="F14" i="19"/>
  <c r="F13" i="19"/>
  <c r="F12" i="19"/>
  <c r="F11" i="19"/>
  <c r="F10" i="19"/>
  <c r="F2" i="19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42" i="21"/>
  <c r="F41" i="21"/>
  <c r="F40" i="21"/>
  <c r="F39" i="21"/>
  <c r="F38" i="21"/>
  <c r="F37" i="21"/>
  <c r="F36" i="21"/>
  <c r="F35" i="21"/>
  <c r="F34" i="21"/>
  <c r="F33" i="21"/>
  <c r="F32" i="21"/>
  <c r="F31" i="21"/>
  <c r="F30" i="21"/>
  <c r="F29" i="21"/>
  <c r="F28" i="21"/>
  <c r="F27" i="21"/>
  <c r="F26" i="21"/>
  <c r="F25" i="21"/>
  <c r="F24" i="21"/>
  <c r="F23" i="21"/>
  <c r="F22" i="21"/>
  <c r="F21" i="21"/>
  <c r="F20" i="21"/>
  <c r="F19" i="21"/>
  <c r="F18" i="21"/>
  <c r="F17" i="21"/>
  <c r="F16" i="21"/>
  <c r="F15" i="21"/>
  <c r="F14" i="21"/>
  <c r="F13" i="21"/>
  <c r="F12" i="21"/>
  <c r="F11" i="21"/>
  <c r="F10" i="21"/>
  <c r="F9" i="21"/>
  <c r="F2" i="21"/>
  <c r="F49" i="13"/>
  <c r="F44" i="13"/>
  <c r="F43" i="13"/>
  <c r="F41" i="13"/>
  <c r="F40" i="13"/>
  <c r="F39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2" i="13"/>
  <c r="F47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2" i="12"/>
  <c r="F47" i="10"/>
  <c r="F46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2" i="10"/>
  <c r="D8" i="17"/>
  <c r="C7" i="17"/>
  <c r="D7" i="17" s="1"/>
  <c r="C6" i="17"/>
  <c r="D6" i="17" s="1"/>
  <c r="C5" i="17"/>
  <c r="D5" i="17" s="1"/>
  <c r="C4" i="17"/>
  <c r="D4" i="17" s="1"/>
  <c r="D9" i="19"/>
  <c r="C8" i="19"/>
  <c r="D8" i="19" s="1"/>
  <c r="C7" i="19"/>
  <c r="D7" i="19" s="1"/>
  <c r="C6" i="19"/>
  <c r="D6" i="19" s="1"/>
  <c r="C5" i="19"/>
  <c r="D5" i="19" s="1"/>
  <c r="D7" i="22"/>
  <c r="C6" i="22"/>
  <c r="D6" i="22" s="1"/>
  <c r="C5" i="22"/>
  <c r="D5" i="22" s="1"/>
  <c r="C4" i="22"/>
  <c r="D4" i="22" s="1"/>
  <c r="C3" i="22"/>
  <c r="D3" i="22" s="1"/>
  <c r="D8" i="21"/>
  <c r="C7" i="21"/>
  <c r="D7" i="21" s="1"/>
  <c r="C6" i="21"/>
  <c r="D6" i="21" s="1"/>
  <c r="C5" i="21"/>
  <c r="D5" i="21" s="1"/>
  <c r="C4" i="21"/>
  <c r="D4" i="21" s="1"/>
  <c r="D9" i="13"/>
  <c r="C8" i="13"/>
  <c r="D8" i="13" s="1"/>
  <c r="C7" i="13"/>
  <c r="D7" i="13" s="1"/>
  <c r="C6" i="13"/>
  <c r="D6" i="13" s="1"/>
  <c r="C5" i="13"/>
  <c r="D5" i="13" s="1"/>
  <c r="C10" i="13"/>
  <c r="D10" i="13" s="1"/>
  <c r="D8" i="12"/>
  <c r="C7" i="12"/>
  <c r="D7" i="12" s="1"/>
  <c r="C6" i="12"/>
  <c r="D6" i="12" s="1"/>
  <c r="C5" i="12"/>
  <c r="D5" i="12" s="1"/>
  <c r="C4" i="12"/>
  <c r="D4" i="12" s="1"/>
  <c r="D9" i="10"/>
  <c r="C8" i="10"/>
  <c r="D8" i="10" s="1"/>
  <c r="C7" i="10"/>
  <c r="D7" i="10" s="1"/>
  <c r="C6" i="10"/>
  <c r="D6" i="10" s="1"/>
  <c r="C5" i="10"/>
  <c r="D5" i="10" s="1"/>
  <c r="C2" i="22"/>
  <c r="D2" i="22" s="1"/>
  <c r="C3" i="21"/>
  <c r="D3" i="21" s="1"/>
  <c r="D10" i="17"/>
  <c r="D11" i="19"/>
  <c r="D9" i="22"/>
  <c r="D10" i="21"/>
  <c r="D11" i="13"/>
  <c r="D10" i="12"/>
  <c r="D11" i="10"/>
  <c r="D49" i="13"/>
  <c r="D47" i="12"/>
  <c r="C51" i="10"/>
  <c r="D51" i="10" s="1"/>
  <c r="C50" i="10"/>
  <c r="D50" i="10" s="1"/>
  <c r="C49" i="10"/>
  <c r="D49" i="10" s="1"/>
  <c r="C48" i="10"/>
  <c r="D48" i="10" s="1"/>
  <c r="C47" i="10"/>
  <c r="D47" i="10" s="1"/>
  <c r="C46" i="10"/>
  <c r="D46" i="10" s="1"/>
  <c r="C45" i="10"/>
  <c r="D45" i="10" s="1"/>
  <c r="C44" i="10"/>
  <c r="D44" i="10" s="1"/>
  <c r="C43" i="10"/>
  <c r="D43" i="10" s="1"/>
  <c r="C42" i="10"/>
  <c r="D42" i="10" s="1"/>
  <c r="C39" i="10"/>
  <c r="D39" i="10" s="1"/>
  <c r="C38" i="10"/>
  <c r="D38" i="10" s="1"/>
  <c r="C37" i="10"/>
  <c r="D37" i="10" s="1"/>
  <c r="C36" i="10"/>
  <c r="D36" i="10" s="1"/>
  <c r="C35" i="10"/>
  <c r="D35" i="10" s="1"/>
  <c r="C34" i="10"/>
  <c r="D34" i="10" s="1"/>
  <c r="C33" i="10"/>
  <c r="D33" i="10" s="1"/>
  <c r="C32" i="10"/>
  <c r="D32" i="10" s="1"/>
  <c r="C31" i="10"/>
  <c r="D31" i="10" s="1"/>
  <c r="C29" i="10"/>
  <c r="D29" i="10" s="1"/>
  <c r="C28" i="10"/>
  <c r="D28" i="10" s="1"/>
  <c r="C27" i="10"/>
  <c r="D27" i="10" s="1"/>
  <c r="C26" i="10"/>
  <c r="D26" i="10" s="1"/>
  <c r="C25" i="10"/>
  <c r="D25" i="10" s="1"/>
  <c r="C24" i="10"/>
  <c r="D24" i="10" s="1"/>
  <c r="C23" i="10"/>
  <c r="D23" i="10" s="1"/>
  <c r="C22" i="10"/>
  <c r="D22" i="10" s="1"/>
  <c r="C21" i="10"/>
  <c r="D21" i="10" s="1"/>
  <c r="C20" i="10"/>
  <c r="D20" i="10" s="1"/>
  <c r="C19" i="10"/>
  <c r="D19" i="10" s="1"/>
  <c r="C18" i="10"/>
  <c r="D18" i="10" s="1"/>
  <c r="C17" i="10"/>
  <c r="D17" i="10" s="1"/>
  <c r="C16" i="10"/>
  <c r="D16" i="10" s="1"/>
  <c r="C15" i="10"/>
  <c r="D15" i="10" s="1"/>
  <c r="C14" i="10"/>
  <c r="D14" i="10" s="1"/>
  <c r="C13" i="10"/>
  <c r="D13" i="10" s="1"/>
  <c r="C12" i="10"/>
  <c r="D12" i="10" s="1"/>
  <c r="C10" i="10"/>
  <c r="D10" i="10" s="1"/>
  <c r="C4" i="10"/>
  <c r="D4" i="10" s="1"/>
  <c r="C3" i="10"/>
  <c r="D3" i="10" s="1"/>
  <c r="C46" i="12"/>
  <c r="D46" i="12" s="1"/>
  <c r="C45" i="12"/>
  <c r="D45" i="12" s="1"/>
  <c r="C44" i="12"/>
  <c r="D44" i="12" s="1"/>
  <c r="C43" i="12"/>
  <c r="D43" i="12" s="1"/>
  <c r="C42" i="12"/>
  <c r="D42" i="12" s="1"/>
  <c r="C41" i="12"/>
  <c r="D41" i="12" s="1"/>
  <c r="C38" i="12"/>
  <c r="D38" i="12" s="1"/>
  <c r="C37" i="12"/>
  <c r="D37" i="12" s="1"/>
  <c r="C36" i="12"/>
  <c r="D36" i="12" s="1"/>
  <c r="C35" i="12"/>
  <c r="D35" i="12" s="1"/>
  <c r="C34" i="12"/>
  <c r="D34" i="12" s="1"/>
  <c r="C33" i="12"/>
  <c r="D33" i="12" s="1"/>
  <c r="C32" i="12"/>
  <c r="D32" i="12" s="1"/>
  <c r="C31" i="12"/>
  <c r="D31" i="12" s="1"/>
  <c r="C30" i="12"/>
  <c r="D30" i="12" s="1"/>
  <c r="C28" i="12"/>
  <c r="D28" i="12" s="1"/>
  <c r="C27" i="12"/>
  <c r="D27" i="12" s="1"/>
  <c r="C26" i="12"/>
  <c r="D26" i="12" s="1"/>
  <c r="C25" i="12"/>
  <c r="D25" i="12" s="1"/>
  <c r="C24" i="12"/>
  <c r="D24" i="12" s="1"/>
  <c r="C23" i="12"/>
  <c r="D23" i="12" s="1"/>
  <c r="C22" i="12"/>
  <c r="D22" i="12" s="1"/>
  <c r="C21" i="12"/>
  <c r="D21" i="12" s="1"/>
  <c r="C20" i="12"/>
  <c r="D20" i="12" s="1"/>
  <c r="C19" i="12"/>
  <c r="D19" i="12" s="1"/>
  <c r="C18" i="12"/>
  <c r="D18" i="12" s="1"/>
  <c r="C17" i="12"/>
  <c r="D17" i="12" s="1"/>
  <c r="C16" i="12"/>
  <c r="D16" i="12" s="1"/>
  <c r="C15" i="12"/>
  <c r="D15" i="12" s="1"/>
  <c r="C14" i="12"/>
  <c r="D14" i="12" s="1"/>
  <c r="C13" i="12"/>
  <c r="D13" i="12" s="1"/>
  <c r="C12" i="12"/>
  <c r="D12" i="12" s="1"/>
  <c r="C11" i="12"/>
  <c r="D11" i="12" s="1"/>
  <c r="C9" i="12"/>
  <c r="D9" i="12" s="1"/>
  <c r="C3" i="12"/>
  <c r="D3" i="12" s="1"/>
  <c r="C48" i="13"/>
  <c r="D48" i="13" s="1"/>
  <c r="C47" i="13"/>
  <c r="D47" i="13" s="1"/>
  <c r="C46" i="13"/>
  <c r="D46" i="13" s="1"/>
  <c r="C45" i="13"/>
  <c r="D45" i="13" s="1"/>
  <c r="C44" i="13"/>
  <c r="D44" i="13" s="1"/>
  <c r="C43" i="13"/>
  <c r="D43" i="13" s="1"/>
  <c r="C39" i="13"/>
  <c r="D39" i="13" s="1"/>
  <c r="C38" i="13"/>
  <c r="D38" i="13" s="1"/>
  <c r="C37" i="13"/>
  <c r="D37" i="13" s="1"/>
  <c r="C36" i="13"/>
  <c r="D36" i="13" s="1"/>
  <c r="C35" i="13"/>
  <c r="D35" i="13" s="1"/>
  <c r="C34" i="13"/>
  <c r="D34" i="13" s="1"/>
  <c r="C33" i="13"/>
  <c r="D33" i="13" s="1"/>
  <c r="C32" i="13"/>
  <c r="D32" i="13" s="1"/>
  <c r="C31" i="13"/>
  <c r="D31" i="13" s="1"/>
  <c r="C29" i="13"/>
  <c r="D29" i="13" s="1"/>
  <c r="C28" i="13"/>
  <c r="D28" i="13" s="1"/>
  <c r="C27" i="13"/>
  <c r="D27" i="13" s="1"/>
  <c r="C26" i="13"/>
  <c r="D26" i="13" s="1"/>
  <c r="C25" i="13"/>
  <c r="D25" i="13" s="1"/>
  <c r="C24" i="13"/>
  <c r="D24" i="13" s="1"/>
  <c r="C23" i="13"/>
  <c r="D23" i="13" s="1"/>
  <c r="C22" i="13"/>
  <c r="D22" i="13" s="1"/>
  <c r="C21" i="13"/>
  <c r="D21" i="13" s="1"/>
  <c r="C20" i="13"/>
  <c r="D20" i="13" s="1"/>
  <c r="C19" i="13"/>
  <c r="D19" i="13" s="1"/>
  <c r="C18" i="13"/>
  <c r="D18" i="13" s="1"/>
  <c r="C17" i="13"/>
  <c r="D17" i="13" s="1"/>
  <c r="C16" i="13"/>
  <c r="D16" i="13" s="1"/>
  <c r="C15" i="13"/>
  <c r="D15" i="13" s="1"/>
  <c r="C14" i="13"/>
  <c r="D14" i="13" s="1"/>
  <c r="C13" i="13"/>
  <c r="D13" i="13" s="1"/>
  <c r="C12" i="13"/>
  <c r="D12" i="13" s="1"/>
  <c r="C4" i="13"/>
  <c r="D4" i="13" s="1"/>
  <c r="C3" i="13"/>
  <c r="D3" i="13" s="1"/>
  <c r="C46" i="21"/>
  <c r="D46" i="21" s="1"/>
  <c r="C45" i="21"/>
  <c r="D45" i="21" s="1"/>
  <c r="C44" i="21"/>
  <c r="D44" i="21" s="1"/>
  <c r="C43" i="21"/>
  <c r="D43" i="21" s="1"/>
  <c r="C42" i="21"/>
  <c r="D42" i="21" s="1"/>
  <c r="C41" i="21"/>
  <c r="D41" i="21" s="1"/>
  <c r="C38" i="21"/>
  <c r="D38" i="21" s="1"/>
  <c r="C37" i="21"/>
  <c r="D37" i="21" s="1"/>
  <c r="C36" i="21"/>
  <c r="D36" i="21" s="1"/>
  <c r="C35" i="21"/>
  <c r="D35" i="21" s="1"/>
  <c r="C34" i="21"/>
  <c r="D34" i="21" s="1"/>
  <c r="C33" i="21"/>
  <c r="D33" i="21" s="1"/>
  <c r="C32" i="21"/>
  <c r="D32" i="21" s="1"/>
  <c r="C31" i="21"/>
  <c r="D31" i="21" s="1"/>
  <c r="C30" i="21"/>
  <c r="D30" i="21" s="1"/>
  <c r="C28" i="21"/>
  <c r="D28" i="21" s="1"/>
  <c r="C27" i="21"/>
  <c r="D27" i="21" s="1"/>
  <c r="C26" i="21"/>
  <c r="D26" i="21" s="1"/>
  <c r="C25" i="21"/>
  <c r="D25" i="21" s="1"/>
  <c r="C24" i="21"/>
  <c r="D24" i="21" s="1"/>
  <c r="C23" i="21"/>
  <c r="D23" i="21" s="1"/>
  <c r="C22" i="21"/>
  <c r="D22" i="21" s="1"/>
  <c r="C21" i="21"/>
  <c r="D21" i="21" s="1"/>
  <c r="C20" i="21"/>
  <c r="D20" i="21" s="1"/>
  <c r="C19" i="21"/>
  <c r="D19" i="21" s="1"/>
  <c r="C18" i="21"/>
  <c r="D18" i="21" s="1"/>
  <c r="C17" i="21"/>
  <c r="D17" i="21" s="1"/>
  <c r="C16" i="21"/>
  <c r="D16" i="21" s="1"/>
  <c r="C15" i="21"/>
  <c r="D15" i="21" s="1"/>
  <c r="C14" i="21"/>
  <c r="D14" i="21" s="1"/>
  <c r="C13" i="21"/>
  <c r="D13" i="21" s="1"/>
  <c r="C12" i="21"/>
  <c r="D12" i="21" s="1"/>
  <c r="C11" i="21"/>
  <c r="D11" i="21" s="1"/>
  <c r="C9" i="21"/>
  <c r="D9" i="21" s="1"/>
  <c r="C46" i="22"/>
  <c r="D46" i="22" s="1"/>
  <c r="C45" i="22"/>
  <c r="D45" i="22" s="1"/>
  <c r="C44" i="22"/>
  <c r="D44" i="22" s="1"/>
  <c r="C43" i="22"/>
  <c r="D43" i="22" s="1"/>
  <c r="C42" i="22"/>
  <c r="D42" i="22" s="1"/>
  <c r="C41" i="22"/>
  <c r="D41" i="22" s="1"/>
  <c r="D40" i="22"/>
  <c r="C37" i="22"/>
  <c r="D37" i="22" s="1"/>
  <c r="C36" i="22"/>
  <c r="D36" i="22" s="1"/>
  <c r="C35" i="22"/>
  <c r="D35" i="22" s="1"/>
  <c r="C34" i="22"/>
  <c r="D34" i="22" s="1"/>
  <c r="C33" i="22"/>
  <c r="D33" i="22" s="1"/>
  <c r="C32" i="22"/>
  <c r="D32" i="22" s="1"/>
  <c r="C31" i="22"/>
  <c r="D31" i="22" s="1"/>
  <c r="C30" i="22"/>
  <c r="D30" i="22" s="1"/>
  <c r="C29" i="22"/>
  <c r="D29" i="22" s="1"/>
  <c r="C27" i="22"/>
  <c r="D27" i="22" s="1"/>
  <c r="C26" i="22"/>
  <c r="D26" i="22" s="1"/>
  <c r="C25" i="22"/>
  <c r="D25" i="22" s="1"/>
  <c r="C24" i="22"/>
  <c r="D24" i="22" s="1"/>
  <c r="C23" i="22"/>
  <c r="D23" i="22" s="1"/>
  <c r="C22" i="22"/>
  <c r="D22" i="22" s="1"/>
  <c r="C21" i="22"/>
  <c r="D21" i="22" s="1"/>
  <c r="C20" i="22"/>
  <c r="D20" i="22" s="1"/>
  <c r="C19" i="22"/>
  <c r="D19" i="22" s="1"/>
  <c r="C18" i="22"/>
  <c r="D18" i="22" s="1"/>
  <c r="C17" i="22"/>
  <c r="D17" i="22" s="1"/>
  <c r="C16" i="22"/>
  <c r="D16" i="22" s="1"/>
  <c r="C15" i="22"/>
  <c r="D15" i="22" s="1"/>
  <c r="C14" i="22"/>
  <c r="D14" i="22" s="1"/>
  <c r="C13" i="22"/>
  <c r="D13" i="22" s="1"/>
  <c r="C12" i="22"/>
  <c r="D12" i="22" s="1"/>
  <c r="C11" i="22"/>
  <c r="D11" i="22" s="1"/>
  <c r="C10" i="22"/>
  <c r="D10" i="22" s="1"/>
  <c r="C8" i="22"/>
  <c r="D8" i="22" s="1"/>
  <c r="C39" i="19"/>
  <c r="D39" i="19" s="1"/>
  <c r="C38" i="19"/>
  <c r="D38" i="19" s="1"/>
  <c r="C37" i="19"/>
  <c r="D37" i="19" s="1"/>
  <c r="C36" i="19"/>
  <c r="D36" i="19" s="1"/>
  <c r="C35" i="19"/>
  <c r="D35" i="19" s="1"/>
  <c r="C34" i="19"/>
  <c r="D34" i="19" s="1"/>
  <c r="C33" i="19"/>
  <c r="D33" i="19" s="1"/>
  <c r="C32" i="19"/>
  <c r="D32" i="19" s="1"/>
  <c r="C31" i="19"/>
  <c r="D31" i="19" s="1"/>
  <c r="C29" i="19"/>
  <c r="D29" i="19" s="1"/>
  <c r="C28" i="19"/>
  <c r="D28" i="19" s="1"/>
  <c r="C27" i="19"/>
  <c r="D27" i="19" s="1"/>
  <c r="C26" i="19"/>
  <c r="D26" i="19" s="1"/>
  <c r="C25" i="19"/>
  <c r="D25" i="19" s="1"/>
  <c r="C24" i="19"/>
  <c r="D24" i="19" s="1"/>
  <c r="C23" i="19"/>
  <c r="D23" i="19" s="1"/>
  <c r="C22" i="19"/>
  <c r="D22" i="19" s="1"/>
  <c r="C21" i="19"/>
  <c r="D21" i="19" s="1"/>
  <c r="C20" i="19"/>
  <c r="D20" i="19" s="1"/>
  <c r="C19" i="19"/>
  <c r="D19" i="19" s="1"/>
  <c r="C18" i="19"/>
  <c r="D18" i="19" s="1"/>
  <c r="C17" i="19"/>
  <c r="D17" i="19" s="1"/>
  <c r="C16" i="19"/>
  <c r="D16" i="19" s="1"/>
  <c r="C15" i="19"/>
  <c r="D15" i="19" s="1"/>
  <c r="C14" i="19"/>
  <c r="D14" i="19" s="1"/>
  <c r="C13" i="19"/>
  <c r="D13" i="19" s="1"/>
  <c r="C12" i="19"/>
  <c r="D12" i="19" s="1"/>
  <c r="C10" i="19"/>
  <c r="D10" i="19" s="1"/>
  <c r="C4" i="19"/>
  <c r="D4" i="19" s="1"/>
  <c r="C3" i="19"/>
  <c r="D3" i="19" s="1"/>
  <c r="C42" i="17"/>
  <c r="D42" i="17" s="1"/>
  <c r="C41" i="17"/>
  <c r="D41" i="17" s="1"/>
  <c r="C38" i="17"/>
  <c r="D38" i="17" s="1"/>
  <c r="C37" i="17"/>
  <c r="D37" i="17" s="1"/>
  <c r="C36" i="17"/>
  <c r="D36" i="17" s="1"/>
  <c r="C35" i="17"/>
  <c r="D35" i="17" s="1"/>
  <c r="C34" i="17"/>
  <c r="D34" i="17" s="1"/>
  <c r="C33" i="17"/>
  <c r="D33" i="17" s="1"/>
  <c r="C32" i="17"/>
  <c r="D32" i="17" s="1"/>
  <c r="C31" i="17"/>
  <c r="D31" i="17" s="1"/>
  <c r="C30" i="17"/>
  <c r="D30" i="17" s="1"/>
  <c r="C28" i="17"/>
  <c r="D28" i="17" s="1"/>
  <c r="C27" i="17"/>
  <c r="D27" i="17" s="1"/>
  <c r="C26" i="17"/>
  <c r="D26" i="17" s="1"/>
  <c r="C25" i="17"/>
  <c r="D25" i="17" s="1"/>
  <c r="C24" i="17"/>
  <c r="D24" i="17" s="1"/>
  <c r="C23" i="17"/>
  <c r="D23" i="17" s="1"/>
  <c r="C22" i="17"/>
  <c r="D22" i="17" s="1"/>
  <c r="C21" i="17"/>
  <c r="D21" i="17" s="1"/>
  <c r="C20" i="17"/>
  <c r="D20" i="17" s="1"/>
  <c r="C19" i="17"/>
  <c r="D19" i="17" s="1"/>
  <c r="C18" i="17"/>
  <c r="D18" i="17" s="1"/>
  <c r="C17" i="17"/>
  <c r="D17" i="17" s="1"/>
  <c r="C16" i="17"/>
  <c r="D16" i="17" s="1"/>
  <c r="C15" i="17"/>
  <c r="D15" i="17" s="1"/>
  <c r="C14" i="17"/>
  <c r="D14" i="17" s="1"/>
  <c r="C13" i="17"/>
  <c r="D13" i="17" s="1"/>
  <c r="C12" i="17"/>
  <c r="D12" i="17" s="1"/>
  <c r="C11" i="17"/>
  <c r="D11" i="17" s="1"/>
  <c r="C9" i="17"/>
  <c r="D9" i="17" s="1"/>
  <c r="C3" i="17"/>
  <c r="D3" i="17" s="1"/>
  <c r="C2" i="10"/>
  <c r="D2" i="10" s="1"/>
  <c r="C2" i="12"/>
  <c r="D2" i="12" s="1"/>
  <c r="C2" i="13"/>
  <c r="D2" i="13" s="1"/>
  <c r="C2" i="21"/>
  <c r="D2" i="21" s="1"/>
  <c r="C2" i="19"/>
  <c r="D2" i="19" s="1"/>
  <c r="C2" i="17"/>
  <c r="D2" i="17" s="1"/>
</calcChain>
</file>

<file path=xl/sharedStrings.xml><?xml version="1.0" encoding="utf-8"?>
<sst xmlns="http://schemas.openxmlformats.org/spreadsheetml/2006/main" count="9540" uniqueCount="320">
  <si>
    <t>Brand</t>
  </si>
  <si>
    <t>Primary</t>
  </si>
  <si>
    <t>Secondary</t>
  </si>
  <si>
    <t>Holiday Inn Express</t>
  </si>
  <si>
    <t>#002D72</t>
  </si>
  <si>
    <t>#9BCBEB</t>
  </si>
  <si>
    <t>#E35205</t>
  </si>
  <si>
    <t xml:space="preserve">Holiday Inn </t>
  </si>
  <si>
    <t>#1C4B34</t>
  </si>
  <si>
    <t>#578272</t>
  </si>
  <si>
    <t>#9BC5B7</t>
  </si>
  <si>
    <t>avid hotels</t>
  </si>
  <si>
    <t>#68D2DF</t>
  </si>
  <si>
    <t>#FF0000</t>
  </si>
  <si>
    <t xml:space="preserve">Garner </t>
  </si>
  <si>
    <t>#ABDBC6</t>
  </si>
  <si>
    <t>#FBF8EB</t>
  </si>
  <si>
    <t>Atwell Suites</t>
  </si>
  <si>
    <t>#6C714D</t>
  </si>
  <si>
    <t>#E8CEBD</t>
  </si>
  <si>
    <t>#B46A55</t>
  </si>
  <si>
    <t>Staybridge Suites</t>
  </si>
  <si>
    <t>#006980</t>
  </si>
  <si>
    <t>Candlewood Suites</t>
  </si>
  <si>
    <t>#9B2241</t>
  </si>
  <si>
    <t>#00205B</t>
  </si>
  <si>
    <t>Even Hotels</t>
  </si>
  <si>
    <t>#164945</t>
  </si>
  <si>
    <t>voco</t>
  </si>
  <si>
    <t>#121217</t>
  </si>
  <si>
    <t>#F8B9OD</t>
  </si>
  <si>
    <t>Crowne Plaza</t>
  </si>
  <si>
    <t>#A00062</t>
  </si>
  <si>
    <t>#515A61</t>
  </si>
  <si>
    <t>Hotel Indigo</t>
  </si>
  <si>
    <t>#2E5992</t>
  </si>
  <si>
    <t>#D8A400</t>
  </si>
  <si>
    <t>Vignette</t>
  </si>
  <si>
    <t>#2E273B</t>
  </si>
  <si>
    <t>#E9D0D5</t>
  </si>
  <si>
    <t>Intercontinental</t>
  </si>
  <si>
    <t>#3D3935</t>
  </si>
  <si>
    <t>#CBC5BE</t>
  </si>
  <si>
    <t>Regent</t>
  </si>
  <si>
    <t>#D6E3DC</t>
  </si>
  <si>
    <t>F5E1CC</t>
  </si>
  <si>
    <t>#211551</t>
  </si>
  <si>
    <t>Kimpton</t>
  </si>
  <si>
    <t>#58565C</t>
  </si>
  <si>
    <t>#FFFFFF</t>
  </si>
  <si>
    <t>Course ID</t>
  </si>
  <si>
    <t>Notes</t>
  </si>
  <si>
    <t>General Manager</t>
  </si>
  <si>
    <t>Sales Team Leader</t>
  </si>
  <si>
    <t>Revenue Team Leader</t>
  </si>
  <si>
    <t>Front Office Team Leader</t>
  </si>
  <si>
    <t>Housekeeping Team Leader</t>
  </si>
  <si>
    <t>Food &amp; Beverage Team Leader</t>
  </si>
  <si>
    <t>Engineering Team Leader</t>
  </si>
  <si>
    <t>Front Desk</t>
  </si>
  <si>
    <t>Housekeeping</t>
  </si>
  <si>
    <t>Food and Beverage</t>
  </si>
  <si>
    <t>Engineering</t>
  </si>
  <si>
    <t>All other management colleagues</t>
  </si>
  <si>
    <t>All other non-management colleagues</t>
  </si>
  <si>
    <t>True Hospitality Service Skills</t>
  </si>
  <si>
    <t>IHG051263</t>
  </si>
  <si>
    <t>Holiday Inn Express Brand Service Training</t>
  </si>
  <si>
    <t>IHG4548388</t>
  </si>
  <si>
    <t>Hotel Experience Champion</t>
  </si>
  <si>
    <t>Leading and Sustaining your Service Culture</t>
  </si>
  <si>
    <t>IHG0056403</t>
  </si>
  <si>
    <t>IHG056045</t>
  </si>
  <si>
    <t>The Value of Loyalty</t>
  </si>
  <si>
    <t>IHG5072070</t>
  </si>
  <si>
    <t>Leading Loyalty</t>
  </si>
  <si>
    <t>IHG6112495</t>
  </si>
  <si>
    <t>IHG One Rewards Program Overview</t>
  </si>
  <si>
    <t>IHG8755255</t>
  </si>
  <si>
    <t>Member Recognition</t>
  </si>
  <si>
    <t>IHG1984349</t>
  </si>
  <si>
    <t>The Value of Enrollments</t>
  </si>
  <si>
    <t>IHG2428898</t>
  </si>
  <si>
    <t>IHG Business Rewards Training</t>
  </si>
  <si>
    <t>IHG0052543</t>
  </si>
  <si>
    <t>LoyaltyConnect</t>
  </si>
  <si>
    <t>IHG0049654</t>
  </si>
  <si>
    <t>IHG Way of Clean 5-S Cleaning Program</t>
  </si>
  <si>
    <t>IHG7376524</t>
  </si>
  <si>
    <t>IHG Way of Clean 5-S Cleaning Program for Non-Housekeeping colleagues</t>
  </si>
  <si>
    <t>IHG1227263</t>
  </si>
  <si>
    <t>Getting to Know IHG Concerto</t>
  </si>
  <si>
    <t>IHG0049491</t>
  </si>
  <si>
    <t>IHG Concerto - MyID - Approvals</t>
  </si>
  <si>
    <t>IHG0054204</t>
  </si>
  <si>
    <t>IHG Concerto - MyID - Assigning Concerto Access</t>
  </si>
  <si>
    <t>IHG0054203</t>
  </si>
  <si>
    <t>IHG Concerto - MyID - Accessing IHG Concerto User Report</t>
  </si>
  <si>
    <t>IHG0054206</t>
  </si>
  <si>
    <t>IHG Concerto - MyID - Removing Access</t>
  </si>
  <si>
    <t>IHG0054205</t>
  </si>
  <si>
    <t>IHG Concerto Homepage overview</t>
  </si>
  <si>
    <t>IHG0052563</t>
  </si>
  <si>
    <t>IHG Concerto: Hotel Content Overview</t>
  </si>
  <si>
    <t>IHG0060624</t>
  </si>
  <si>
    <t xml:space="preserve">Global Sales Induction </t>
  </si>
  <si>
    <t>IHG7573378</t>
  </si>
  <si>
    <t>Getting Started with MeetingBroker</t>
  </si>
  <si>
    <t>IHG0056663</t>
  </si>
  <si>
    <t>IHG Way of Sales - Solution Selling</t>
  </si>
  <si>
    <t>IHG0025681</t>
  </si>
  <si>
    <t>GRS Fundamentals - Reservation, Rate and Inventory Management</t>
  </si>
  <si>
    <t>IHG0049459</t>
  </si>
  <si>
    <t>RMS Fundamentals: Yielding &amp; Price Optimization</t>
  </si>
  <si>
    <t>IHG0049460</t>
  </si>
  <si>
    <t>IHG Concerto Hotel Release 2 - Inventory Reset Process Phase II</t>
  </si>
  <si>
    <t>IHG0061343</t>
  </si>
  <si>
    <t>IHG Concerto Hotel Release 2 - Inventory Reset Process Phase III</t>
  </si>
  <si>
    <t>IHG0061983</t>
  </si>
  <si>
    <t>IHG Concerto Inventory Configuration - Sleeping Rooms</t>
  </si>
  <si>
    <t>IHG1677402</t>
  </si>
  <si>
    <t>IHG Concerto - Getting to Know Inventory Balancing</t>
  </si>
  <si>
    <t>Revenue Management Certification</t>
  </si>
  <si>
    <t>RM Certification</t>
  </si>
  <si>
    <t>General Manager Onboarding Learning Plan</t>
  </si>
  <si>
    <t>General Manager Onboarding Learning Event</t>
  </si>
  <si>
    <t>Prerequisite: Must complete Onboarding Learning Plan</t>
  </si>
  <si>
    <t>Food Waste Reduction for People Leaders</t>
  </si>
  <si>
    <t>IHG7300975</t>
  </si>
  <si>
    <t>Food Waste Reduction for Colleagues</t>
  </si>
  <si>
    <t>IHG2092887</t>
  </si>
  <si>
    <t>Holiday Inn Brand Service Training</t>
  </si>
  <si>
    <t>IHG3075650</t>
  </si>
  <si>
    <t>F&amp;B Learning Series - Breakfast Guest Journey</t>
  </si>
  <si>
    <t>IHG5956029</t>
  </si>
  <si>
    <t>F&amp;B Learning Series - Tableside Etiquette</t>
  </si>
  <si>
    <t>IHG6423633</t>
  </si>
  <si>
    <t>F&amp;B Learning Series - Daily Briefing</t>
  </si>
  <si>
    <t>IHG6344076</t>
  </si>
  <si>
    <t>Staybridge Suites Brand Orientation</t>
  </si>
  <si>
    <t>IHG058783</t>
  </si>
  <si>
    <t>Staybridge Suites Brand Experience Training</t>
  </si>
  <si>
    <t>IHG058784</t>
  </si>
  <si>
    <t>voco hotels Brand Orientation</t>
  </si>
  <si>
    <t>IHG0065384</t>
  </si>
  <si>
    <t>voco hotels Brand Experience</t>
  </si>
  <si>
    <t>IHG0066043</t>
  </si>
  <si>
    <t>Breakfast Guest Journey - Upscale F&amp;B Learning Series</t>
  </si>
  <si>
    <t>Tableside Etiquette - Upscale F&amp;B Learning Series</t>
  </si>
  <si>
    <t>Daily Briefing - Upscale F&amp;B Learning Series</t>
  </si>
  <si>
    <t>Back of House Success - Upscale F&amp;B Learning Series</t>
  </si>
  <si>
    <t>IHG6021898</t>
  </si>
  <si>
    <t>F&amp;B Learning Series - Back of House Success</t>
  </si>
  <si>
    <t>Crowne Plaza Brand Orientation</t>
  </si>
  <si>
    <t>IHG051234</t>
  </si>
  <si>
    <t>IHG058303</t>
  </si>
  <si>
    <t>IHG0059211</t>
  </si>
  <si>
    <t>IHG0064483</t>
  </si>
  <si>
    <t>IHG0064463</t>
  </si>
  <si>
    <t>Luxury Fundamentals</t>
  </si>
  <si>
    <t>IHG0063363</t>
  </si>
  <si>
    <t>InterContinental Ambassador Training</t>
  </si>
  <si>
    <t>IHG8902188</t>
  </si>
  <si>
    <t>IHG4379192</t>
  </si>
  <si>
    <t>Candlewood Suites Brand Orientation</t>
  </si>
  <si>
    <t>IHG058785</t>
  </si>
  <si>
    <t>Candlewood Suites Brand Experience Training</t>
  </si>
  <si>
    <t>IHG058786</t>
  </si>
  <si>
    <t>IHG Problem Handling</t>
  </si>
  <si>
    <t/>
  </si>
  <si>
    <t>x</t>
  </si>
  <si>
    <t>Time Frame</t>
  </si>
  <si>
    <t>1st day</t>
  </si>
  <si>
    <t>within 14 days</t>
  </si>
  <si>
    <t>within 30 days</t>
  </si>
  <si>
    <t>within 60 days</t>
  </si>
  <si>
    <t>within 90 days</t>
  </si>
  <si>
    <t>within 120 days</t>
  </si>
  <si>
    <t>within 6 months</t>
  </si>
  <si>
    <t>within 12 months</t>
  </si>
  <si>
    <t>within 24 months</t>
  </si>
  <si>
    <t>Suggested Learning</t>
  </si>
  <si>
    <t>Time Frame (1-10) Not Visible to Learner</t>
  </si>
  <si>
    <t>Time Frame Visible to Learner</t>
  </si>
  <si>
    <t>Priority:  Y</t>
  </si>
  <si>
    <t>Vignette Collection</t>
  </si>
  <si>
    <t xml:space="preserve">InterContinental </t>
  </si>
  <si>
    <t>IHG Non Branded Hotels</t>
  </si>
  <si>
    <t>Grouping</t>
  </si>
  <si>
    <t>Course ID / Link</t>
  </si>
  <si>
    <t>Review: Opera Property Management System Training Guide</t>
  </si>
  <si>
    <t>IHG0016783</t>
  </si>
  <si>
    <t>Leading the Brand Experience for New Hotels Part 1</t>
  </si>
  <si>
    <t xml:space="preserve">Invitation </t>
  </si>
  <si>
    <t>Welcome to IHG</t>
  </si>
  <si>
    <t>IHG058044</t>
  </si>
  <si>
    <t>Preventing Human Trafficking</t>
  </si>
  <si>
    <t>IHG0057043-v2024</t>
  </si>
  <si>
    <t>Health &amp; Safety, Security and Emergency Procedures</t>
  </si>
  <si>
    <t>OBSM 1131432</t>
  </si>
  <si>
    <t>Employee Safety Device Training</t>
  </si>
  <si>
    <t>OBSM 957289</t>
  </si>
  <si>
    <t>First Aid /  CPR Certification</t>
  </si>
  <si>
    <t>Brand Standard</t>
  </si>
  <si>
    <t>Crowne Plaza Dare to Connect Brand Experience Training_AMER</t>
  </si>
  <si>
    <t>IHG057984</t>
  </si>
  <si>
    <t>IHG Way of Clean for Non-Housekeeping Colleagues</t>
  </si>
  <si>
    <t> IHG8755255</t>
  </si>
  <si>
    <t>IHG Way of Clean 5-S Process Leadership Certification</t>
  </si>
  <si>
    <t>IHG0046182</t>
  </si>
  <si>
    <t>IHG Way of Clean 5-S Deep Clean Program</t>
  </si>
  <si>
    <t>IHG0054103</t>
  </si>
  <si>
    <t>Leading the Brand Experience for New Hotels Part 2</t>
  </si>
  <si>
    <t>Invitation</t>
  </si>
  <si>
    <t>Digital Check-In</t>
  </si>
  <si>
    <t>IHG0061303</t>
  </si>
  <si>
    <t>Value of Enrollments</t>
  </si>
  <si>
    <t>Introduction to Information Security</t>
  </si>
  <si>
    <t>IHG0047625</t>
  </si>
  <si>
    <t>Handling Card Data Securely with PCI DSS Training</t>
  </si>
  <si>
    <t>IHG3569155</t>
  </si>
  <si>
    <t>IHG Voice Program</t>
  </si>
  <si>
    <t>IHG0054667</t>
  </si>
  <si>
    <t>Departmental Trainer Programme</t>
  </si>
  <si>
    <t>IHG0061123</t>
  </si>
  <si>
    <t> IHG6112495</t>
  </si>
  <si>
    <t>Crowne Plaza IGNITE Menu Program Video - Service</t>
  </si>
  <si>
    <t>IHG0057306</t>
  </si>
  <si>
    <t>Crowne Plaza IGNITE Menu Program Video - Recipes</t>
  </si>
  <si>
    <t>IHG057307-EN</t>
  </si>
  <si>
    <t>Crowne Plaza Power Up Morning Breakfast Program</t>
  </si>
  <si>
    <t>IHG057363</t>
  </si>
  <si>
    <t>Crowne Plaza 'Power Up Mornings' Breakfast Program Workshop</t>
  </si>
  <si>
    <t>IHG4350610</t>
  </si>
  <si>
    <t>Food and Beverage Resources</t>
  </si>
  <si>
    <t>IHG Food and Beverage Americas Reource Site</t>
  </si>
  <si>
    <t>Ramp Up:  Pricing, Activating &amp; Fueling New Hotels</t>
  </si>
  <si>
    <t>General Manager Operations Welcome Call</t>
  </si>
  <si>
    <t>Onboarding Learning Plan</t>
  </si>
  <si>
    <t>Registration Link</t>
  </si>
  <si>
    <t>Hurricane Preparedness</t>
  </si>
  <si>
    <t>IHG5268648</t>
  </si>
  <si>
    <t>Maintenance Essentials</t>
  </si>
  <si>
    <t>IHG0064363</t>
  </si>
  <si>
    <t>IHG Way of Clean - Preventative Maintenance Program Leadership Certification</t>
  </si>
  <si>
    <t>IHG9048004</t>
  </si>
  <si>
    <t>Front Office Manager Pathway</t>
  </si>
  <si>
    <t>IHG063003</t>
  </si>
  <si>
    <t>Front Office Manager Learning Event</t>
  </si>
  <si>
    <t>IHG0062823</t>
  </si>
  <si>
    <t>Sales Learning Pathway for On Property Sellers</t>
  </si>
  <si>
    <t>IHG3530707</t>
  </si>
  <si>
    <t>Global Sales Induction</t>
  </si>
  <si>
    <t>Director of Sales Orientation</t>
  </si>
  <si>
    <t>IHG0045422</t>
  </si>
  <si>
    <t>Revenue Management Learning Series - Building a Foundation</t>
  </si>
  <si>
    <t>IHG4562857</t>
  </si>
  <si>
    <t>Revenue Management Essentials Certification Part 2</t>
  </si>
  <si>
    <t>IHG00022461</t>
  </si>
  <si>
    <t>IHG Business Edge Increasing Revenue and Raising ADR</t>
  </si>
  <si>
    <t>IHG0055823</t>
  </si>
  <si>
    <t>IHG RFP Training for On-Property</t>
  </si>
  <si>
    <t>IHG0047544</t>
  </si>
  <si>
    <t>Business Cases for On-Property</t>
  </si>
  <si>
    <t>IHG0059964</t>
  </si>
  <si>
    <t>Duvet Training Materials and Care Guides</t>
  </si>
  <si>
    <t>Link to Guide</t>
  </si>
  <si>
    <t xml:space="preserve">Sales Welcome Call </t>
  </si>
  <si>
    <t>The Express Start Breakfast Bar Experience - US &amp; Canada</t>
  </si>
  <si>
    <t>IHG052206</t>
  </si>
  <si>
    <t>Access to the system will automatically be given. For New Hotels - only to be completed after official hotel opening.</t>
  </si>
  <si>
    <t>All things Food &amp; Beverage at your fingertips</t>
  </si>
  <si>
    <t>IHG Food &amp; Beverage Reource Site</t>
  </si>
  <si>
    <t>Explore resource and apply accordingly</t>
  </si>
  <si>
    <t>Brand Service Tools &amp; Resources</t>
  </si>
  <si>
    <t>Title</t>
  </si>
  <si>
    <t>Europe Hotels - Crowne Plaza Dare to Connect Brand Experience Training</t>
  </si>
  <si>
    <t>IHG Managed Hotels - Responsible Business Catalogue - follow guidance on brand-standard related trainings</t>
  </si>
  <si>
    <t>Franchised Hotels - Responsible Business Catalogue - follow guidance on brand-standard related trainings</t>
  </si>
  <si>
    <t>Middle East, Africa and Asia Hotels - Crowne Plaza Dare to Connect Brand Experience Training</t>
  </si>
  <si>
    <t>Hotel Indigo Inspire New Stories Brand Orientation</t>
  </si>
  <si>
    <t>Hotel Indigo Inspire New Stories Brand Experience Training</t>
  </si>
  <si>
    <t>InterContinental Hotels and Resorts Brand Orientation</t>
  </si>
  <si>
    <t>IHG051925</t>
  </si>
  <si>
    <t>Not a specific course; review the Hotel Experience Champion Program and ensure Hotel Experience Champion role(s) have been assigned</t>
  </si>
  <si>
    <t>Hotel Experience Champion Program</t>
  </si>
  <si>
    <t>Guide for Managed Hotel Leaders</t>
  </si>
  <si>
    <t>Guide for Managed Hotel Colleagues</t>
  </si>
  <si>
    <t>Guide for Franchised Hotel Leaders</t>
  </si>
  <si>
    <t>Guide for Franchised Hotel Colleagues</t>
  </si>
  <si>
    <t>For IHG Managed Hotels only; follow guidance on brand-standard related trainings</t>
  </si>
  <si>
    <t>For Franchised Hotels only; follow guidance on brand-standard related trainings</t>
  </si>
  <si>
    <t>IHG Managed Hotels - Responsible Business Catalogue</t>
  </si>
  <si>
    <t>Franchised Hotels - Responsible Business Catalogue</t>
  </si>
  <si>
    <t xml:space="preserve">Self-paced Online Learning (1 Hour 15 Minutes). Hotel-led in-person training (On-Job-Training, OJT) is permitted &amp; completions must be tracked in myLearning. </t>
  </si>
  <si>
    <t>Self-paced Online Learning (1 Hour 45 Minutes).</t>
  </si>
  <si>
    <t xml:space="preserve">Self-paced Online Learning (1 Hour). Hotel-led in-person training (On-Job-Training, OJT) is permitted &amp; completions must be tracked in myLearning. </t>
  </si>
  <si>
    <t>Self-paced Online Learning (20 Minutes).</t>
  </si>
  <si>
    <t>Self-paced Online Learning (15 Minutes).</t>
  </si>
  <si>
    <t xml:space="preserve">Hotel-led in-person training (On-Job-Training, OJT) is permitted &amp; completions must be tracked in myLearning. </t>
  </si>
  <si>
    <t xml:space="preserve">Self-paced Online Learning (20 Minutes). Hotel-led in-person training (On-Job-Training, OJT) is permitted &amp; completions must be tracked in myLearning. </t>
  </si>
  <si>
    <t>Self-paced Online Learning (5 Minutes).</t>
  </si>
  <si>
    <t>Self-paced Online Learning (25 Minutes).</t>
  </si>
  <si>
    <t>Self-paced Online Learning (1 Hour 30 Minutes).</t>
  </si>
  <si>
    <t>Self-paced Online Learning.</t>
  </si>
  <si>
    <t>In-person Instructor Led Course (see available dates &amp; times by clicking the link below). Prerequisite:  Must Complete Sales Learning Pathway</t>
  </si>
  <si>
    <t xml:space="preserve">Self-paced Online Learning (25 Minutes). Hotel-led in-person training (On-Job-Training, OJT) is permitted &amp; completions must be tracked in myLearning. </t>
  </si>
  <si>
    <t>IHG0053503</t>
  </si>
  <si>
    <t xml:space="preserve">Self-paced Online Learning (30 Minutes). Hotel-led in-person training (On-Job-Training, OJT) is permitted &amp; completions must be tracked in myLearning. </t>
  </si>
  <si>
    <t xml:space="preserve">For soon-to-be InterContinental, Kimpton, Regent and Vignette Collection hotels only. Self-paced Online Learning (40 Minutes). Hotel-led in-person training (On-Job-Training, OJT) is permitted &amp; completions must be tracked in myLearning. </t>
  </si>
  <si>
    <t xml:space="preserve">Self-paced Online Learning (40 Minutes). Hotel-led in-person training (On-Job-Training, OJT) is permitted &amp; completions must be tracked in myLearning. </t>
  </si>
  <si>
    <t xml:space="preserve">Self-paced Online Learning (1 Hour 30 Minutes). Hotel-led in-person training (On-Job-Training, OJT) is permitted &amp; completions must be tracked in myLearning. </t>
  </si>
  <si>
    <t>Self-paced Online Learning (20 Minutes). Hotel-led in-person training (On-Job-Training, OJT) is permitted &amp; completions must be tracked in myLearning.</t>
  </si>
  <si>
    <t>Self-paced Online Learning (30 Minutes).</t>
  </si>
  <si>
    <t xml:space="preserve">For hotels in Europe only; Self-paced Online Learning (2 Hours 30 Minutes). Hotel-led in-person training (On-Job-Training, OJT) is permitted &amp; completions must be tracked in myLearning. </t>
  </si>
  <si>
    <t xml:space="preserve">For hotels outside of Europe only; Self-paced Online Learning (2 Hours 30 Minutes). Hotel-led in-person training (On-Job-Training, OJT) is permitted &amp; completions must be tracked in myLearning. </t>
  </si>
  <si>
    <t xml:space="preserve">Self-paced Online Learning (1 Hour 50 Minutes). Hotel-led in-person training (On-Job-Training, OJT) is permitted &amp; completions must be tracked in myLearning. </t>
  </si>
  <si>
    <t>Kimpton Inner Circle - Delivering Loyalty at Kimpton</t>
  </si>
  <si>
    <t>Not found</t>
  </si>
  <si>
    <t>Garner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</si>
</sst>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32323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2E273B"/>
      <name val="Engravers MT"/>
      <family val="1"/>
    </font>
    <font>
      <sz val="10"/>
      <color rgb="FF2E273B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u/>
      <sz val="10"/>
      <color theme="10"/>
      <name val="Arial"/>
      <family val="2"/>
    </font>
    <font>
      <sz val="10"/>
      <color rgb="FFFBF8EB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u/>
      <sz val="10"/>
      <color theme="10"/>
      <name val="Calibri"/>
      <family val="2"/>
      <scheme val="minor"/>
    </font>
    <font>
      <sz val="10"/>
      <name val="Times New Roman"/>
      <family val="1"/>
    </font>
    <font>
      <u/>
      <sz val="10"/>
      <name val="Times New Roman"/>
      <family val="1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2">
    <xf numFmtId="0" fontId="0" fillId="0" borderId="0" xfId="0"/>
    <xf numFmtId="0" fontId="3" fillId="0" borderId="0" xfId="0" applyFont="1"/>
    <xf numFmtId="0" fontId="1" fillId="0" borderId="0" xfId="0" applyFont="1"/>
    <xf numFmtId="0" fontId="2" fillId="2" borderId="1" xfId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/>
    </xf>
    <xf numFmtId="0" fontId="11" fillId="0" borderId="1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left"/>
    </xf>
    <xf numFmtId="0" fontId="10" fillId="3" borderId="1" xfId="1" applyFont="1" applyFill="1" applyBorder="1" applyAlignment="1">
      <alignment vertical="top"/>
    </xf>
    <xf numFmtId="0" fontId="4" fillId="3" borderId="1" xfId="0" applyFont="1" applyFill="1" applyBorder="1" applyAlignment="1">
      <alignment vertical="center" wrapText="1"/>
    </xf>
    <xf numFmtId="0" fontId="10" fillId="3" borderId="1" xfId="1" applyFont="1" applyFill="1" applyBorder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10" fillId="2" borderId="1" xfId="1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2" fillId="3" borderId="4" xfId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 vertical="top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" fillId="3" borderId="1" xfId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2" borderId="4" xfId="0" applyFont="1" applyFill="1" applyBorder="1" applyAlignment="1">
      <alignment horizontal="left" vertical="center" wrapText="1"/>
    </xf>
    <xf numFmtId="0" fontId="10" fillId="3" borderId="1" xfId="1" applyFont="1" applyFill="1" applyBorder="1" applyAlignment="1"/>
    <xf numFmtId="0" fontId="10" fillId="3" borderId="1" xfId="1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11" fillId="3" borderId="4" xfId="1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/>
    </xf>
    <xf numFmtId="0" fontId="4" fillId="0" borderId="1" xfId="0" applyFont="1" applyBorder="1" applyAlignment="1">
      <alignment vertical="center"/>
    </xf>
    <xf numFmtId="0" fontId="15" fillId="2" borderId="1" xfId="1" applyFont="1" applyFill="1" applyBorder="1" applyAlignment="1">
      <alignment vertical="center"/>
    </xf>
    <xf numFmtId="0" fontId="16" fillId="2" borderId="1" xfId="0" applyFont="1" applyFill="1" applyBorder="1" applyAlignment="1">
      <alignment vertical="center"/>
    </xf>
    <xf numFmtId="0" fontId="17" fillId="2" borderId="1" xfId="1" applyFont="1" applyFill="1" applyBorder="1" applyAlignment="1">
      <alignment vertical="center"/>
    </xf>
    <xf numFmtId="0" fontId="10" fillId="2" borderId="1" xfId="1" applyFont="1" applyFill="1" applyBorder="1" applyAlignment="1">
      <alignment vertical="center"/>
    </xf>
    <xf numFmtId="16" fontId="15" fillId="2" borderId="1" xfId="1" applyNumberFormat="1" applyFont="1" applyFill="1" applyBorder="1" applyAlignment="1">
      <alignment vertical="center"/>
    </xf>
    <xf numFmtId="0" fontId="15" fillId="0" borderId="1" xfId="1" applyFont="1" applyFill="1" applyBorder="1" applyAlignment="1">
      <alignment vertical="center"/>
    </xf>
    <xf numFmtId="0" fontId="11" fillId="0" borderId="1" xfId="1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15" fillId="3" borderId="1" xfId="1" applyFont="1" applyFill="1" applyBorder="1" applyAlignment="1">
      <alignment vertical="center"/>
    </xf>
    <xf numFmtId="0" fontId="11" fillId="2" borderId="1" xfId="1" applyFont="1" applyFill="1" applyBorder="1" applyAlignment="1">
      <alignment vertical="center"/>
    </xf>
    <xf numFmtId="0" fontId="1" fillId="0" borderId="1" xfId="0" applyFont="1" applyBorder="1" applyAlignment="1"/>
    <xf numFmtId="0" fontId="2" fillId="3" borderId="1" xfId="1" applyFill="1" applyBorder="1" applyAlignment="1">
      <alignment vertical="center" wrapText="1"/>
    </xf>
    <xf numFmtId="0" fontId="4" fillId="3" borderId="1" xfId="0" applyFont="1" applyFill="1" applyBorder="1" applyAlignment="1"/>
    <xf numFmtId="0" fontId="18" fillId="0" borderId="1" xfId="0" applyFont="1" applyBorder="1" applyAlignment="1"/>
    <xf numFmtId="0" fontId="2" fillId="2" borderId="1" xfId="1" applyFill="1" applyBorder="1" applyAlignment="1">
      <alignment vertical="center" wrapText="1"/>
    </xf>
    <xf numFmtId="0" fontId="11" fillId="2" borderId="1" xfId="1" applyFont="1" applyFill="1" applyBorder="1" applyAlignment="1">
      <alignment vertical="center" wrapText="1"/>
    </xf>
    <xf numFmtId="0" fontId="12" fillId="0" borderId="0" xfId="0" applyFont="1" applyAlignment="1">
      <alignment horizontal="center"/>
    </xf>
    <xf numFmtId="0" fontId="4" fillId="3" borderId="0" xfId="0" applyFont="1" applyFill="1" applyAlignment="1">
      <alignment vertical="center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65911"/>
      <color rgb="FF9B2241"/>
      <color rgb="FF404040"/>
      <color rgb="FFD6E3DC"/>
      <color rgb="FF3D3935"/>
      <color rgb="FFA00062"/>
      <color rgb="FF2E273B"/>
      <color rgb="FF2E5992"/>
      <color rgb="FF002D72"/>
      <color rgb="FF0B67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ihg.sharepoint.com/sites/GlobalLearning_BrandsandService/Shared%20Documents/General/6_Projects%20in%20the%20Works/SOH1203_NHOP%20-%20Required%20Training%20Dashboard/5_Deployment/Copy%20of%20New%20Colleague%20Data%20File_AMER.xlsx" TargetMode="External"/><Relationship Id="rId2" Type="http://schemas.microsoft.com/office/2019/04/relationships/externalLinkLongPath" Target="Copy%20of%20New%20Colleague%20Data%20File_AMER.xlsx?07508617" TargetMode="External"/><Relationship Id="rId1" Type="http://schemas.openxmlformats.org/officeDocument/2006/relationships/externalLinkPath" Target="file:///\\07508617\Copy%20of%20New%20Colleague%20Data%20File_A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Colour Guide"/>
      <sheetName val="Regent"/>
      <sheetName val="InterContinental "/>
      <sheetName val="Vignette"/>
      <sheetName val="Hotel Indigo"/>
      <sheetName val="voco"/>
      <sheetName val="Crowne Plaza"/>
      <sheetName val="Even Hotels"/>
      <sheetName val="Holiday Inn "/>
      <sheetName val="Holiday Inn Express"/>
      <sheetName val="avid hotels"/>
      <sheetName val="Garner"/>
      <sheetName val="Atwell Suites"/>
      <sheetName val="Staybridge Suites"/>
      <sheetName val="Candlewood Suites"/>
      <sheetName val="IHG Hotel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2">
          <cell r="A2">
            <v>1</v>
          </cell>
          <cell r="B2" t="str">
            <v>1st day</v>
          </cell>
        </row>
        <row r="3">
          <cell r="A3">
            <v>2</v>
          </cell>
          <cell r="B3" t="str">
            <v>within 14 days</v>
          </cell>
        </row>
        <row r="4">
          <cell r="A4">
            <v>3</v>
          </cell>
          <cell r="B4" t="str">
            <v>within 30 days</v>
          </cell>
        </row>
        <row r="5">
          <cell r="A5">
            <v>4</v>
          </cell>
          <cell r="B5" t="str">
            <v>within 60 days</v>
          </cell>
        </row>
        <row r="6">
          <cell r="A6">
            <v>5</v>
          </cell>
          <cell r="B6" t="str">
            <v>within 90 days</v>
          </cell>
        </row>
        <row r="7">
          <cell r="A7">
            <v>6</v>
          </cell>
          <cell r="B7" t="str">
            <v>within 120 days</v>
          </cell>
        </row>
        <row r="8">
          <cell r="A8">
            <v>7</v>
          </cell>
          <cell r="B8" t="str">
            <v>within 6 months</v>
          </cell>
        </row>
        <row r="9">
          <cell r="A9">
            <v>8</v>
          </cell>
          <cell r="B9" t="str">
            <v>within 12 months</v>
          </cell>
        </row>
        <row r="10">
          <cell r="A10">
            <v>9</v>
          </cell>
          <cell r="B10" t="str">
            <v>within 24 months</v>
          </cell>
        </row>
        <row r="11">
          <cell r="A11">
            <v>10</v>
          </cell>
          <cell r="B11" t="str">
            <v>Suggested Learning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mylearning.sumtotal.host/Core/pillarRedirect?relyingParty=LM&amp;url=core%2Factivitydetails%2FViewActivityDetails%3FActivityId%3D57%26UserMode%3D0" TargetMode="External"/><Relationship Id="rId18" Type="http://schemas.openxmlformats.org/officeDocument/2006/relationships/hyperlink" Target="https://mylearning.sumtotal.host/Core/pillarRedirect?relyingParty=LM&amp;url=core%2Factivitydetails%2FViewActivityDetails%3FActivityId%3D62%26UserMode%3D0" TargetMode="External"/><Relationship Id="rId26" Type="http://schemas.openxmlformats.org/officeDocument/2006/relationships/hyperlink" Target="https://mylearning.sumtotal.host/core/pillarRedirect?relyingParty=LM&amp;url=app%2Fmanagement%2FLMS_ActDetails.aspx%3FActivityId%3D440%26UserMode%3D0" TargetMode="External"/><Relationship Id="rId39" Type="http://schemas.openxmlformats.org/officeDocument/2006/relationships/hyperlink" Target="https://me2.ihgmerlin.com/documents/344888240/673023797/HOTEL_RB+Training+Catalogue_Franchised+FL+v2024_4.pdf/248e52ca-f621-2a01-0d50-872508761e53?t=1727430934591" TargetMode="External"/><Relationship Id="rId21" Type="http://schemas.openxmlformats.org/officeDocument/2006/relationships/hyperlink" Target="https://mylearning.sumtotal.host/rcore/c/dash/www/google.com/initial?relyingParty=ELIXHRUI&amp;nodeKey=dashboard_201_Brand_Training_Sustainment&amp;nodeUrl=%2Fdash%2Fwww%2Fgoogle.com%2Finitial" TargetMode="External"/><Relationship Id="rId34" Type="http://schemas.openxmlformats.org/officeDocument/2006/relationships/hyperlink" Target="https://mylearning.sumtotal.host/core/pillarRedirect?relyingParty=LM&amp;url=app%2Fmanagement%2FLMS_ActDetails.aspx%3FActivityId%3D636193%26UserMode%3D0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https://mylearning.sumtotal.host/Core/pillarRedirect?relyingParty=LM&amp;url=core%2Factivitydetails%2FViewActivityDetails%3FActivityId%3D240854%26UserMode%3D0" TargetMode="External"/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TargetMode="External"/><Relationship Id="rId16" Type="http://schemas.openxmlformats.org/officeDocument/2006/relationships/hyperlink" Target="https://mylearning.sumtotal.host/Core/pillarRedirect?relyingParty=LM&amp;url=core%2Factivitydetails%2FViewActivityDetails%3FActivityId%3D52090%26UserMode%3D0" TargetMode="External"/><Relationship Id="rId20" Type="http://schemas.openxmlformats.org/officeDocument/2006/relationships/hyperlink" Target="https://mylearning.sumtotal.host/Core/pillarRedirect?relyingParty=LM&amp;url=core%2Factivitydetails%2FViewActivityDetails%3FActivityId%3D1289%26UserMode%3D0" TargetMode="External"/><Relationship Id="rId29" Type="http://schemas.openxmlformats.org/officeDocument/2006/relationships/hyperlink" Target="https://mylearning.sumtotal.host/core/pillarRedirect?relyingParty=LM&amp;url=app%2Fmanagement%2FLMS_ActDetails.aspx%3FActivityId%3D280596%26UserMode%3D0" TargetMode="External"/><Relationship Id="rId41" Type="http://schemas.openxmlformats.org/officeDocument/2006/relationships/hyperlink" Target="https://urldefense.com/v3/__https:/mylearning.sumtotal.host/core/pillarRedirect?relyingParty=LM&amp;url=app*2Fmanagement*2FLMS_ActDetails.aspx*3FActivityId*3D240855*26UserMode*3D0__;JSUlJSUl!!EOxaMA!Qr9acoX2_EV1mT0wmAxiOdTUWOHvMXYUCiw2niLR1HXQbhVDbdsZpso8geQqe50t9pBdegO46Mz59j2MtJfVmA$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TargetMode="External"/><Relationship Id="rId6" Type="http://schemas.openxmlformats.org/officeDocument/2006/relationships/hyperlink" Target="https://mylearning.sumtotal.host/Core/pillarRedirect?relyingParty=LM&amp;url=core%2Factivitydetails%2FViewActivityDetails%3FActivityId%3D240857%26UserMode%3D0" TargetMode="External"/><Relationship Id="rId11" Type="http://schemas.openxmlformats.org/officeDocument/2006/relationships/hyperlink" Target="https://mylearning.sumtotal.host/Core/pillarRedirect?relyingParty=LM&amp;url=core%2Factivitydetails%2FViewActivityDetails%3FActivityId%3D68%26UserMode%3D0" TargetMode="External"/><Relationship Id="rId24" Type="http://schemas.openxmlformats.org/officeDocument/2006/relationships/hyperlink" Target="https://mylearning.sumtotal.host/Core/pillarRedirect?relyingParty=LM&amp;url=core%2Factivitydetails%2FViewActivityDetails%3FActivityId%3D64%26UserMode%3D0" TargetMode="External"/><Relationship Id="rId32" Type="http://schemas.openxmlformats.org/officeDocument/2006/relationships/hyperlink" Target="https://ihglive.fuseuniversal.com/communities/12046/contents/1288326" TargetMode="External"/><Relationship Id="rId37" Type="http://schemas.openxmlformats.org/officeDocument/2006/relationships/hyperlink" Target="../../../../../../../ResponsibleBusiness/Shared%20Documents/HOTEL_RB%20Training%20Catalogue_MH%20FL%20v2024_4.pdf?web=1" TargetMode="External"/><Relationship Id="rId40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5" Type="http://schemas.openxmlformats.org/officeDocument/2006/relationships/hyperlink" Target="https://mylearning.sumtotal.host/Core/pillarRedirect?relyingParty=LM&amp;url=core%2Factivitydetails%2FViewActivityDetails%3FActivityId%3D240856%26UserMode%3D0" TargetMode="External"/><Relationship Id="rId15" Type="http://schemas.openxmlformats.org/officeDocument/2006/relationships/hyperlink" Target="https://mylearning.sumtotal.host/Core/pillarRedirect?relyingParty=LM&amp;url=core%2Factivitydetails%2FViewActivityDetails%3FActivityId%3D58%26UserMode%3D0" TargetMode="External"/><Relationship Id="rId23" Type="http://schemas.openxmlformats.org/officeDocument/2006/relationships/hyperlink" Target="https://mylearning.sumtotal.host/Core/pillarRedirect?relyingParty=LM&amp;url=core%2Factivitydetails%2FViewActivityDetails%3FActivityId%3D3438%26UserMode%3D0" TargetMode="External"/><Relationship Id="rId28" Type="http://schemas.openxmlformats.org/officeDocument/2006/relationships/hyperlink" Target="https://mylearning.sumtotal.host/core/pillarRedirect?relyingParty=LM&amp;url=app%2Fmanagement%2FLMS_ActDetails.aspx%3FActivityId%3D23148%26UserMode%3D0" TargetMode="External"/><Relationship Id="rId36" Type="http://schemas.openxmlformats.org/officeDocument/2006/relationships/hyperlink" Target="../../../../../../../ResponsibleBusiness/Shared%20Documents/HOTEL_RB%20Training%20Catalogue_MH%20Leader%20v2024_4.pdf?web=1" TargetMode="External"/><Relationship Id="rId10" Type="http://schemas.openxmlformats.org/officeDocument/2006/relationships/hyperlink" Target="https://mylearning.sumtotal.host/Core/pillarRedirect?relyingParty=LM&amp;url=core%2Factivitydetails%2FViewActivityDetails%3FActivityId%3D67%26UserMode%3D0" TargetMode="External"/><Relationship Id="rId19" Type="http://schemas.openxmlformats.org/officeDocument/2006/relationships/hyperlink" Target="https://mylearning.sumtotal.host/Core/pillarRedirect?relyingParty=LM&amp;url=core%2Factivitydetails%2FViewActivityDetails%3FActivityId%3D6450%26UserMode%3D0" TargetMode="External"/><Relationship Id="rId31" Type="http://schemas.openxmlformats.org/officeDocument/2006/relationships/hyperlink" Target="https://ihglive.fuseuniversal.com/" TargetMode="External"/><Relationship Id="rId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9" Type="http://schemas.openxmlformats.org/officeDocument/2006/relationships/hyperlink" Target="https://mylearning.sumtotal.host/Core/pillarRedirect?relyingParty=LM&amp;url=core%2Factivitydetails%2FViewActivityDetails%3FActivityId%3D76%26UserMode%3D0" TargetMode="External"/><Relationship Id="rId14" Type="http://schemas.openxmlformats.org/officeDocument/2006/relationships/hyperlink" Target="https://mylearning.sumtotal.host/Core/pillarRedirect?relyingParty=LM&amp;url=core%2Factivitydetails%2FViewActivityDetails%3FActivityId%3D59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96432%26UserMode%3d0" TargetMode="External"/><Relationship Id="rId27" Type="http://schemas.openxmlformats.org/officeDocument/2006/relationships/hyperlink" Target="https://mylearning.sumtotal.host/Core/pillarRedirect?relyingParty=LM&amp;url=core%2Factivitydetails%2FViewActivityDetails%3FActivityId%3D23166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310962%26UserMode%3D0" TargetMode="External"/><Relationship Id="rId35" Type="http://schemas.openxmlformats.org/officeDocument/2006/relationships/hyperlink" Target="https://me2.ihgmerlin.com/documents/137310422/08e55ca6-cb34-4610-856f-140e2934bb74" TargetMode="External"/><Relationship Id="rId8" Type="http://schemas.openxmlformats.org/officeDocument/2006/relationships/hyperlink" Target="https://mylearning.sumtotal.host/Core/pillarRedirect?relyingParty=LM&amp;url=core%2Factivitydetails%2FViewActivityDetails%3FActivityId%3D1963%26UserMode%3D0" TargetMode="External"/><Relationship Id="rId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TargetMode="External"/><Relationship Id="rId12" Type="http://schemas.openxmlformats.org/officeDocument/2006/relationships/hyperlink" Target="https://mylearning.sumtotal.host/Core/pillarRedirect?relyingParty=LM&amp;url=core%2Factivitydetails%2FViewActivityDetails%3FActivityId%3D60%26UserMode%3D0" TargetMode="External"/><Relationship Id="rId17" Type="http://schemas.openxmlformats.org/officeDocument/2006/relationships/hyperlink" Target="https://mylearning.sumtotal.host/Core/pillarRedirect?relyingParty=LM&amp;url=core%2Factivitydetails%2FViewActivityDetails%3FActivityId%3D25674%26UserMode%3D0" TargetMode="External"/><Relationship Id="rId25" Type="http://schemas.openxmlformats.org/officeDocument/2006/relationships/hyperlink" Target="https://mylearning.sumtotal.host/Core/pillarRedirect?relyingParty=LM&amp;url=core%2Factivitydetails%2FViewActivityDetails%3FActivityId%3D28229%26UserMode%3D0" TargetMode="External"/><Relationship Id="rId33" Type="http://schemas.openxmlformats.org/officeDocument/2006/relationships/hyperlink" Target="https://ihgfbglobal.com/regional-home-emeaa/" TargetMode="External"/><Relationship Id="rId38" Type="http://schemas.openxmlformats.org/officeDocument/2006/relationships/hyperlink" Target="https://me2.ihgmerlin.com/documents/344888240/673023797/HOTEL_RB+Training+Catalogue_Franchised_Leader+v2024_4.pdf/a2069f50-82f1-078b-758e-9e981e3a85db?t=1727430935374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mylearning.sumtotal.host/Core/pillarRedirect?relyingParty=LM&amp;url=core%2Factivitydetails%2FViewActivityDetails%3FActivityId%3D57%26UserMode%3D0" TargetMode="External"/><Relationship Id="rId18" Type="http://schemas.openxmlformats.org/officeDocument/2006/relationships/hyperlink" Target="https://mylearning.sumtotal.host/Core/pillarRedirect?relyingParty=LM&amp;url=core%2Factivitydetails%2FViewActivityDetails%3FActivityId%3D62%26UserMode%3D0" TargetMode="External"/><Relationship Id="rId26" Type="http://schemas.openxmlformats.org/officeDocument/2006/relationships/hyperlink" Target="https://mylearning.sumtotal.host/core/pillarRedirect?relyingParty=LM&amp;url=app%2Fmanagement%2FLMS_ActDetails.aspx%3FActivityId%3D440%26UserMode%3D0" TargetMode="External"/><Relationship Id="rId39" Type="http://schemas.openxmlformats.org/officeDocument/2006/relationships/hyperlink" Target="https://me2.ihgmerlin.com/documents/344888240/673023797/HOTEL_RB+Training+Catalogue_Franchised_Leader+v2024_4.pdf/a2069f50-82f1-078b-758e-9e981e3a85db?t=1727430935374" TargetMode="External"/><Relationship Id="rId21" Type="http://schemas.openxmlformats.org/officeDocument/2006/relationships/hyperlink" Target="https://mylearning.sumtotal.host/rcore/c/dash/www/google.com/initial?relyingParty=ELIXHRUI&amp;nodeKey=dashboard_201_Brand_Training_Sustainment&amp;nodeUrl=%2Fdash%2Fwww%2Fgoogle.com%2Finitial" TargetMode="External"/><Relationship Id="rId34" Type="http://schemas.openxmlformats.org/officeDocument/2006/relationships/hyperlink" Target="https://ihgfbglobal.com/regional-home-emeaa/" TargetMode="External"/><Relationship Id="rId42" Type="http://schemas.openxmlformats.org/officeDocument/2006/relationships/hyperlink" Target="https://urldefense.com/v3/__https:/mylearning.sumtotal.host/core/pillarRedirect?relyingParty=LM&amp;url=app*2Fmanagement*2FLMS_ActDetails.aspx*3FActivityId*3D240855*26UserMode*3D0__;JSUlJSUl!!EOxaMA!Qr9acoX2_EV1mT0wmAxiOdTUWOHvMXYUCiw2niLR1HXQbhVDbdsZpso8geQqe50t9pBdegO46Mz59j2MtJfVmA$" TargetMode="External"/><Relationship Id="rId7" Type="http://schemas.openxmlformats.org/officeDocument/2006/relationships/hyperlink" Target="https://mylearning.sumtotal.host/Core/pillarRedirect?relyingParty=LM&amp;url=core%2Factivitydetails%2FViewActivityDetails%3FActivityId%3D240854%26UserMode%3D0" TargetMode="External"/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TargetMode="External"/><Relationship Id="rId16" Type="http://schemas.openxmlformats.org/officeDocument/2006/relationships/hyperlink" Target="https://mylearning.sumtotal.host/Core/pillarRedirect?relyingParty=LM&amp;url=core%2Factivitydetails%2FViewActivityDetails%3FActivityId%3D52090%26UserMode%3D0" TargetMode="External"/><Relationship Id="rId20" Type="http://schemas.openxmlformats.org/officeDocument/2006/relationships/hyperlink" Target="https://mylearning.sumtotal.host/Core/pillarRedirect?relyingParty=LM&amp;url=core%2Factivitydetails%2FViewActivityDetails%3FActivityId%3D1289%26UserMode%3D0" TargetMode="External"/><Relationship Id="rId29" Type="http://schemas.openxmlformats.org/officeDocument/2006/relationships/hyperlink" Target="https://mylearning.sumtotal.host/core/pillarRedirect?relyingParty=LM&amp;url=app%2Fmanagement%2FLMS_ActDetails.aspx%3FActivityId%3D23148%26UserMode%3D0" TargetMode="External"/><Relationship Id="rId41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TargetMode="External"/><Relationship Id="rId6" Type="http://schemas.openxmlformats.org/officeDocument/2006/relationships/hyperlink" Target="https://mylearning.sumtotal.host/Core/pillarRedirect?relyingParty=LM&amp;url=core%2Factivitydetails%2FViewActivityDetails%3FActivityId%3D240857%26UserMode%3D0" TargetMode="External"/><Relationship Id="rId11" Type="http://schemas.openxmlformats.org/officeDocument/2006/relationships/hyperlink" Target="https://mylearning.sumtotal.host/Core/pillarRedirect?relyingParty=LM&amp;url=core%2Factivitydetails%2FViewActivityDetails%3FActivityId%3D68%26UserMode%3D0" TargetMode="External"/><Relationship Id="rId24" Type="http://schemas.openxmlformats.org/officeDocument/2006/relationships/hyperlink" Target="https://mylearning.sumtotal.host/Core/pillarRedirect?relyingParty=LM&amp;url=core%2Factivitydetails%2FViewActivityDetails%3FActivityId%3D64%26UserMode%3D0" TargetMode="External"/><Relationship Id="rId32" Type="http://schemas.openxmlformats.org/officeDocument/2006/relationships/hyperlink" Target="https://ihglive.fuseuniversal.com/" TargetMode="External"/><Relationship Id="rId37" Type="http://schemas.openxmlformats.org/officeDocument/2006/relationships/hyperlink" Target="../../../../../../../ResponsibleBusiness/Shared%20Documents/HOTEL_RB%20Training%20Catalogue_MH%20Leader%20v2024_4.pdf?web=1" TargetMode="External"/><Relationship Id="rId40" Type="http://schemas.openxmlformats.org/officeDocument/2006/relationships/hyperlink" Target="https://me2.ihgmerlin.com/documents/344888240/673023797/HOTEL_RB+Training+Catalogue_Franchised+FL+v2024_4.pdf/248e52ca-f621-2a01-0d50-872508761e53?t=1727430934591" TargetMode="External"/><Relationship Id="rId5" Type="http://schemas.openxmlformats.org/officeDocument/2006/relationships/hyperlink" Target="https://mylearning.sumtotal.host/Core/pillarRedirect?relyingParty=LM&amp;url=core%2Factivitydetails%2FViewActivityDetails%3FActivityId%3D240856%26UserMode%3D0" TargetMode="External"/><Relationship Id="rId15" Type="http://schemas.openxmlformats.org/officeDocument/2006/relationships/hyperlink" Target="https://mylearning.sumtotal.host/Core/pillarRedirect?relyingParty=LM&amp;url=core%2Factivitydetails%2FViewActivityDetails%3FActivityId%3D58%26UserMode%3D0" TargetMode="External"/><Relationship Id="rId23" Type="http://schemas.openxmlformats.org/officeDocument/2006/relationships/hyperlink" Target="https://mylearning.sumtotal.host/Core/pillarRedirect?relyingParty=LM&amp;url=core%2Factivitydetails%2FViewActivityDetails%3FActivityId%3D3438%26UserMode%3D0" TargetMode="External"/><Relationship Id="rId28" Type="http://schemas.openxmlformats.org/officeDocument/2006/relationships/hyperlink" Target="https://mylearning.sumtotal.host/Core/pillarRedirect?relyingParty=LM&amp;url=core%2Factivitydetails%2FViewActivityDetails%3FActivityId%3D23166%26UserMode%3D0" TargetMode="External"/><Relationship Id="rId36" Type="http://schemas.openxmlformats.org/officeDocument/2006/relationships/hyperlink" Target="https://me2.ihgmerlin.com/documents/137310422/08e55ca6-cb34-4610-856f-140e2934bb74" TargetMode="External"/><Relationship Id="rId10" Type="http://schemas.openxmlformats.org/officeDocument/2006/relationships/hyperlink" Target="https://mylearning.sumtotal.host/Core/pillarRedirect?relyingParty=LM&amp;url=core%2Factivitydetails%2FViewActivityDetails%3FActivityId%3D67%26UserMode%3D0" TargetMode="External"/><Relationship Id="rId19" Type="http://schemas.openxmlformats.org/officeDocument/2006/relationships/hyperlink" Target="https://mylearning.sumtotal.host/Core/pillarRedirect?relyingParty=LM&amp;url=core%2Factivitydetails%2FViewActivityDetails%3FActivityId%3D6450%26UserMode%3D0" TargetMode="External"/><Relationship Id="rId31" Type="http://schemas.openxmlformats.org/officeDocument/2006/relationships/hyperlink" Target="https://mylearning.sumtotal.host/core/pillarRedirect?relyingParty=LM&amp;url=app%2Fmanagement%2FLMS_ActDetails.aspx%3FActivityId%3D310962%26UserMode%3D0" TargetMode="External"/><Relationship Id="rId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9" Type="http://schemas.openxmlformats.org/officeDocument/2006/relationships/hyperlink" Target="https://mylearning.sumtotal.host/Core/pillarRedirect?relyingParty=LM&amp;url=core%2Factivitydetails%2FViewActivityDetails%3FActivityId%3D76%26UserMode%3D0" TargetMode="External"/><Relationship Id="rId14" Type="http://schemas.openxmlformats.org/officeDocument/2006/relationships/hyperlink" Target="https://mylearning.sumtotal.host/Core/pillarRedirect?relyingParty=LM&amp;url=core%2Factivitydetails%2FViewActivityDetails%3FActivityId%3D59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96432%26UserMode%3d0" TargetMode="External"/><Relationship Id="rId27" Type="http://schemas.openxmlformats.org/officeDocument/2006/relationships/hyperlink" Target="https://mylearning.sumtotal.host/core/pillarRedirect?relyingParty=LM&amp;url=app%2Fmanagement%2FLMS_ActDetails.aspx%3FActivityId%3D366737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280596%26UserMode%3D0" TargetMode="External"/><Relationship Id="rId35" Type="http://schemas.openxmlformats.org/officeDocument/2006/relationships/hyperlink" Target="https://mylearning.sumtotal.host/core/pillarRedirect?relyingParty=LM&amp;url=app%2Fmanagement%2FLMS_ActDetails.aspx%3FActivityId%3D636193%26UserMode%3D0" TargetMode="External"/><Relationship Id="rId43" Type="http://schemas.openxmlformats.org/officeDocument/2006/relationships/printerSettings" Target="../printerSettings/printerSettings2.bin"/><Relationship Id="rId8" Type="http://schemas.openxmlformats.org/officeDocument/2006/relationships/hyperlink" Target="https://mylearning.sumtotal.host/Core/pillarRedirect?relyingParty=LM&amp;url=core%2Factivitydetails%2FViewActivityDetails%3FActivityId%3D1963%26UserMode%3D0" TargetMode="External"/><Relationship Id="rId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TargetMode="External"/><Relationship Id="rId12" Type="http://schemas.openxmlformats.org/officeDocument/2006/relationships/hyperlink" Target="https://mylearning.sumtotal.host/Core/pillarRedirect?relyingParty=LM&amp;url=core%2Factivitydetails%2FViewActivityDetails%3FActivityId%3D60%26UserMode%3D0" TargetMode="External"/><Relationship Id="rId17" Type="http://schemas.openxmlformats.org/officeDocument/2006/relationships/hyperlink" Target="https://mylearning.sumtotal.host/Core/pillarRedirect?relyingParty=LM&amp;url=core%2Factivitydetails%2FViewActivityDetails%3FActivityId%3D25674%26UserMode%3D0" TargetMode="External"/><Relationship Id="rId25" Type="http://schemas.openxmlformats.org/officeDocument/2006/relationships/hyperlink" Target="https://mylearning.sumtotal.host/Core/pillarRedirect?relyingParty=LM&amp;url=core%2Factivitydetails%2FViewActivityDetails%3FActivityId%3D28229%26UserMode%3D0" TargetMode="External"/><Relationship Id="rId33" Type="http://schemas.openxmlformats.org/officeDocument/2006/relationships/hyperlink" Target="https://ihglive.fuseuniversal.com/communities/12046/contents/1288326" TargetMode="External"/><Relationship Id="rId38" Type="http://schemas.openxmlformats.org/officeDocument/2006/relationships/hyperlink" Target="../../../../../../../ResponsibleBusiness/Shared%20Documents/HOTEL_RB%20Training%20Catalogue_MH%20FL%20v2024_4.pdf?web=1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mylearning.sumtotal.host/Core/pillarRedirect?relyingParty=LM&amp;url=core%2Factivitydetails%2FViewActivityDetails%3FActivityId%3D60%26UserMode%3D0" TargetMode="External"/><Relationship Id="rId18" Type="http://schemas.openxmlformats.org/officeDocument/2006/relationships/hyperlink" Target="https://mylearning.sumtotal.host/Core/pillarRedirect?relyingParty=LM&amp;url=core%2Factivitydetails%2FViewActivityDetails%3FActivityId%3D25674%26UserMode%3D0" TargetMode="External"/><Relationship Id="rId26" Type="http://schemas.openxmlformats.org/officeDocument/2006/relationships/hyperlink" Target="https://mylearning.sumtotal.host/Core/pillarRedirect?relyingParty=LM&amp;url=core%2Factivitydetails%2FViewActivityDetails%3FActivityId%3D28229%26UserMode%3D0" TargetMode="External"/><Relationship Id="rId39" Type="http://schemas.openxmlformats.org/officeDocument/2006/relationships/hyperlink" Target="https://mylearning.sumtotal.host/core/pillarRedirect?relyingParty=LM&amp;url=app%2Fmanagement%2FLMS_ActDetails.aspx%3FActivityId%3D636193%26UserMode%3D0" TargetMode="External"/><Relationship Id="rId21" Type="http://schemas.openxmlformats.org/officeDocument/2006/relationships/hyperlink" Target="https://mylearning.sumtotal.host/Core/pillarRedirect?relyingParty=LM&amp;url=core%2Factivitydetails%2FViewActivityDetails%3FActivityId%3D1289%26UserMode%3D0" TargetMode="External"/><Relationship Id="rId34" Type="http://schemas.openxmlformats.org/officeDocument/2006/relationships/hyperlink" Target="https://mylearning.sumtotal.host/core/pillarRedirect?relyingParty=LM&amp;url=app%2Fmanagement%2FLMS_ActDetails.aspx%3FActivityId%3D310962%26UserMode%3D0" TargetMode="External"/><Relationship Id="rId42" Type="http://schemas.openxmlformats.org/officeDocument/2006/relationships/hyperlink" Target="../../../../../../../ResponsibleBusiness/Shared%20Documents/HOTEL_RB%20Training%20Catalogue_MH%20FL%20v2024_4.pdf?web=1" TargetMode="External"/><Relationship Id="rId7" Type="http://schemas.openxmlformats.org/officeDocument/2006/relationships/hyperlink" Target="https://mylearning.sumtotal.host/Core/pillarRedirect?relyingParty=LM&amp;url=core%2Factivitydetails%2FViewActivityDetails%3FActivityId%3D240854%26UserMode%3D0" TargetMode="External"/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TargetMode="External"/><Relationship Id="rId16" Type="http://schemas.openxmlformats.org/officeDocument/2006/relationships/hyperlink" Target="https://mylearning.sumtotal.host/Core/pillarRedirect?relyingParty=LM&amp;url=core%2Factivitydetails%2FViewActivityDetails%3FActivityId%3D58%26UserMode%3D0" TargetMode="External"/><Relationship Id="rId29" Type="http://schemas.openxmlformats.org/officeDocument/2006/relationships/hyperlink" Target="https://mylearning.sumtotal.host/core/pillarRedirect?relyingParty=LM&amp;url=app%2Fmanagement%2FLMS_ActDetails.aspx%3FActivityId%3D23148%26UserMode%3D0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TargetMode="External"/><Relationship Id="rId6" Type="http://schemas.openxmlformats.org/officeDocument/2006/relationships/hyperlink" Target="https://mylearning.sumtotal.host/Core/pillarRedirect?relyingParty=LM&amp;url=core%2Factivitydetails%2FViewActivityDetails%3FActivityId%3D240857%26UserMode%3D0" TargetMode="External"/><Relationship Id="rId11" Type="http://schemas.openxmlformats.org/officeDocument/2006/relationships/hyperlink" Target="https://mylearning.sumtotal.host/Core/pillarRedirect?relyingParty=LM&amp;url=core%2Factivitydetails%2FViewActivityDetails%3FActivityId%3D67%26UserMode%3D0" TargetMode="External"/><Relationship Id="rId24" Type="http://schemas.openxmlformats.org/officeDocument/2006/relationships/hyperlink" Target="https://mylearning.sumtotal.host/Core/pillarRedirect?relyingParty=LM&amp;url=core%2Factivitydetails%2FViewActivityDetails%3FActivityId%3D3438%26UserMode%3D0" TargetMode="External"/><Relationship Id="rId32" Type="http://schemas.openxmlformats.org/officeDocument/2006/relationships/hyperlink" Target="https://mylearning.sumtotal.host/Core/pillarRedirect?relyingParty=LM&amp;url=core%2Factivitydetails%2FViewActivityDetails%3FActivityId%3D51705%26UserMode%3D0" TargetMode="External"/><Relationship Id="rId37" Type="http://schemas.openxmlformats.org/officeDocument/2006/relationships/hyperlink" Target="https://ihgfbglobal.com/regional-home-emeaa/" TargetMode="External"/><Relationship Id="rId40" Type="http://schemas.openxmlformats.org/officeDocument/2006/relationships/hyperlink" Target="https://me2.ihgmerlin.com/documents/137310422/08e55ca6-cb34-4610-856f-140e2934bb74" TargetMode="External"/><Relationship Id="rId45" Type="http://schemas.openxmlformats.org/officeDocument/2006/relationships/hyperlink" Target="https://mylearning.sumtotal.host/core/pillarRedirect?relyingParty=LM&amp;url=app%2Fmanagement%2FLMS_ActDetails.aspx%3FActivityId%3D440%26UserMode%3D0" TargetMode="External"/><Relationship Id="rId5" Type="http://schemas.openxmlformats.org/officeDocument/2006/relationships/hyperlink" Target="https://mylearning.sumtotal.host/Core/pillarRedirect?relyingParty=LM&amp;url=core%2Factivitydetails%2FViewActivityDetails%3FActivityId%3D240856%26UserMode%3D0" TargetMode="External"/><Relationship Id="rId15" Type="http://schemas.openxmlformats.org/officeDocument/2006/relationships/hyperlink" Target="https://mylearning.sumtotal.host/Core/pillarRedirect?relyingParty=LM&amp;url=core%2Factivitydetails%2FViewActivityDetails%3FActivityId%3D59%26UserMode%3D0" TargetMode="External"/><Relationship Id="rId23" Type="http://schemas.openxmlformats.org/officeDocument/2006/relationships/hyperlink" Target="https://mylearning.sumtotal.host/core/pillarRedirect?relyingParty=LM&amp;url=app%2fmanagement%2fLMS_ActDetails.aspx%3fActivityId%3d96432%26UserMode%3d0" TargetMode="External"/><Relationship Id="rId28" Type="http://schemas.openxmlformats.org/officeDocument/2006/relationships/hyperlink" Target="https://mylearning.sumtotal.host/Core/pillarRedirect?relyingParty=LM&amp;url=core%2Factivitydetails%2FViewActivityDetails%3FActivityId%3D23166%26UserMode%3D0" TargetMode="External"/><Relationship Id="rId36" Type="http://schemas.openxmlformats.org/officeDocument/2006/relationships/hyperlink" Target="https://ihglive.fuseuniversal.com/communities/12046/contents/1288326" TargetMode="External"/><Relationship Id="rId10" Type="http://schemas.openxmlformats.org/officeDocument/2006/relationships/hyperlink" Target="https://mylearning.sumtotal.host/Core/pillarRedirect?relyingParty=LM&amp;url=core%2Factivitydetails%2FViewActivityDetails%3FActivityId%3D76%26UserMode%3D0" TargetMode="External"/><Relationship Id="rId19" Type="http://schemas.openxmlformats.org/officeDocument/2006/relationships/hyperlink" Target="https://mylearning.sumtotal.host/Core/pillarRedirect?relyingParty=LM&amp;url=core%2Factivitydetails%2FViewActivityDetails%3FActivityId%3D62%26UserMode%3D0" TargetMode="External"/><Relationship Id="rId31" Type="http://schemas.openxmlformats.org/officeDocument/2006/relationships/hyperlink" Target="https://mylearning.sumtotal.host/Core/pillarRedirect?relyingParty=LM&amp;url=core%2Factivitydetails%2FViewActivityDetails%3FActivityId%3D29120%26UserMode%3D0" TargetMode="External"/><Relationship Id="rId44" Type="http://schemas.openxmlformats.org/officeDocument/2006/relationships/hyperlink" Target="https://me2.ihgmerlin.com/documents/344888240/673023797/HOTEL_RB+Training+Catalogue_Franchised+FL+v2024_4.pdf/248e52ca-f621-2a01-0d50-872508761e53?t=1727430934591" TargetMode="External"/><Relationship Id="rId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9" Type="http://schemas.openxmlformats.org/officeDocument/2006/relationships/hyperlink" Target="https://mylearning.sumtotal.host/Core/pillarRedirect?relyingParty=LM&amp;url=core%2Factivitydetails%2FViewActivityDetails%3FActivityId%3D1963%26UserMode%3D0" TargetMode="External"/><Relationship Id="rId14" Type="http://schemas.openxmlformats.org/officeDocument/2006/relationships/hyperlink" Target="https://mylearning.sumtotal.host/Core/pillarRedirect?relyingParty=LM&amp;url=core%2Factivitydetails%2FViewActivityDetails%3FActivityId%3D57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27" Type="http://schemas.openxmlformats.org/officeDocument/2006/relationships/hyperlink" Target="https://mylearning.sumtotal.host/core/pillarRedirect?relyingParty=LM&amp;url=app%2Fmanagement%2FLMS_ActDetails.aspx%3FActivityId%3D104579%26UserMode%3D0" TargetMode="External"/><Relationship Id="rId30" Type="http://schemas.openxmlformats.org/officeDocument/2006/relationships/hyperlink" Target="https://mylearning.sumtotal.host/Core/pillarRedirect?relyingParty=LM&amp;url=core%2Factivitydetails%2FViewActivityDetails%3FActivityId%3D29123%26UserMode%3D0" TargetMode="External"/><Relationship Id="rId35" Type="http://schemas.openxmlformats.org/officeDocument/2006/relationships/hyperlink" Target="https://ihglive.fuseuniversal.com/" TargetMode="External"/><Relationship Id="rId43" Type="http://schemas.openxmlformats.org/officeDocument/2006/relationships/hyperlink" Target="https://me2.ihgmerlin.com/documents/344888240/673023797/HOTEL_RB+Training+Catalogue_Franchised_Leader+v2024_4.pdf/a2069f50-82f1-078b-758e-9e981e3a85db?t=1727430935374" TargetMode="External"/><Relationship Id="rId8" Type="http://schemas.openxmlformats.org/officeDocument/2006/relationships/hyperlink" Target="https://mylearning.sumtotal.host/Core/pillarRedirect?relyingParty=LM&amp;url=core%2Factivitydetails%2FViewActivityDetails%3FActivityId%3D240855%26UserMode%3D0" TargetMode="External"/><Relationship Id="rId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TargetMode="External"/><Relationship Id="rId12" Type="http://schemas.openxmlformats.org/officeDocument/2006/relationships/hyperlink" Target="https://mylearning.sumtotal.host/Core/pillarRedirect?relyingParty=LM&amp;url=core%2Factivitydetails%2FViewActivityDetails%3FActivityId%3D68%26UserMode%3D0" TargetMode="External"/><Relationship Id="rId17" Type="http://schemas.openxmlformats.org/officeDocument/2006/relationships/hyperlink" Target="https://mylearning.sumtotal.host/Core/pillarRedirect?relyingParty=LM&amp;url=core%2Factivitydetails%2FViewActivityDetails%3FActivityId%3D52090%26UserMode%3D0" TargetMode="External"/><Relationship Id="rId25" Type="http://schemas.openxmlformats.org/officeDocument/2006/relationships/hyperlink" Target="https://mylearning.sumtotal.host/Core/pillarRedirect?relyingParty=LM&amp;url=core%2Factivitydetails%2FViewActivityDetails%3FActivityId%3D64%26UserMode%3D0" TargetMode="External"/><Relationship Id="rId33" Type="http://schemas.openxmlformats.org/officeDocument/2006/relationships/hyperlink" Target="https://mylearning.sumtotal.host/core/pillarRedirect?relyingParty=LM&amp;url=app%2Fmanagement%2FLMS_ActDetails.aspx%3FActivityId%3D280596%26UserMode%3D0" TargetMode="External"/><Relationship Id="rId38" Type="http://schemas.openxmlformats.org/officeDocument/2006/relationships/hyperlink" Target="https://mylearning.sumtotal.host/rcore/c/dash/www/google.com/initial?relyingParty=ELIXHRUI&amp;nodeKey=dashboard_201_Brand_Training_Sustainment&amp;nodeUrl=%2Fdash%2Fwww%2Fgoogle.com%2Finitial" TargetMode="External"/><Relationship Id="rId20" Type="http://schemas.openxmlformats.org/officeDocument/2006/relationships/hyperlink" Target="https://mylearning.sumtotal.host/Core/pillarRedirect?relyingParty=LM&amp;url=core%2Factivitydetails%2FViewActivityDetails%3FActivityId%3D6450%26UserMode%3D0" TargetMode="External"/><Relationship Id="rId41" Type="http://schemas.openxmlformats.org/officeDocument/2006/relationships/hyperlink" Target="../../../../../../../ResponsibleBusiness/Shared%20Documents/HOTEL_RB%20Training%20Catalogue_MH%20Leader%20v2024_4.pdf?web=1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mylearning.sumtotal.host/Core/pillarRedirect?relyingParty=LM&amp;url=core%2Factivitydetails%2FViewActivityDetails%3FActivityId%3D60%26UserMode%3D0" TargetMode="External"/><Relationship Id="rId18" Type="http://schemas.openxmlformats.org/officeDocument/2006/relationships/hyperlink" Target="https://mylearning.sumtotal.host/Core/pillarRedirect?relyingParty=LM&amp;url=core%2Factivitydetails%2FViewActivityDetails%3FActivityId%3D62%26UserMode%3D0" TargetMode="External"/><Relationship Id="rId26" Type="http://schemas.openxmlformats.org/officeDocument/2006/relationships/hyperlink" Target="https://mylearning.sumtotal.host/Core/pillarRedirect?relyingParty=LM&amp;url=core%2Factivitydetails%2FViewActivityDetails%3FActivityId%3D23166%26UserMode%3D0" TargetMode="External"/><Relationship Id="rId39" Type="http://schemas.openxmlformats.org/officeDocument/2006/relationships/hyperlink" Target="../../../../../../../ResponsibleBusiness/Shared%20Documents/HOTEL_RB%20Training%20Catalogue_MH%20Leader%20v2024_4.pdf?web=1" TargetMode="External"/><Relationship Id="rId21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34" Type="http://schemas.openxmlformats.org/officeDocument/2006/relationships/hyperlink" Target="https://mylearning.sumtotal.host/rcore/c/dash/www/google.com/initial?relyingParty=ELIXHRUI&amp;nodeKey=dashboard_201_Brand_Training_Sustainment&amp;nodeUrl=%2Fdash%2Fwww%2Fgoogle.com%2Finitial" TargetMode="External"/><Relationship Id="rId42" Type="http://schemas.openxmlformats.org/officeDocument/2006/relationships/hyperlink" Target="https://me2.ihgmerlin.com/documents/344888240/673023797/HOTEL_RB+Training+Catalogue_Franchised+FL+v2024_4.pdf/248e52ca-f621-2a01-0d50-872508761e53?t=1727430934591" TargetMode="External"/><Relationship Id="rId7" Type="http://schemas.openxmlformats.org/officeDocument/2006/relationships/hyperlink" Target="https://mylearning.sumtotal.host/Core/pillarRedirect?relyingParty=LM&amp;url=core%2Factivitydetails%2FViewActivityDetails%3FActivityId%3D240854%26UserMode%3D0" TargetMode="External"/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TargetMode="External"/><Relationship Id="rId16" Type="http://schemas.openxmlformats.org/officeDocument/2006/relationships/hyperlink" Target="https://mylearning.sumtotal.host/Core/pillarRedirect?relyingParty=LM&amp;url=core%2Factivitydetails%2FViewActivityDetails%3FActivityId%3D58%26UserMode%3D0" TargetMode="External"/><Relationship Id="rId20" Type="http://schemas.openxmlformats.org/officeDocument/2006/relationships/hyperlink" Target="https://mylearning.sumtotal.host/Core/pillarRedirect?relyingParty=LM&amp;url=core%2Factivitydetails%2FViewActivityDetails%3FActivityId%3D1289%26UserMode%3D0" TargetMode="External"/><Relationship Id="rId29" Type="http://schemas.openxmlformats.org/officeDocument/2006/relationships/hyperlink" Target="https://mylearning.sumtotal.host/core/pillarRedirect?relyingParty=LM&amp;url=app%2Fmanagement%2FLMS_ActDetails.aspx%3FActivityId%3D310962%26UserMode%3D0" TargetMode="External"/><Relationship Id="rId41" Type="http://schemas.openxmlformats.org/officeDocument/2006/relationships/hyperlink" Target="https://me2.ihgmerlin.com/documents/344888240/673023797/HOTEL_RB+Training+Catalogue_Franchised_Leader+v2024_4.pdf/a2069f50-82f1-078b-758e-9e981e3a85db?t=1727430935374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TargetMode="External"/><Relationship Id="rId6" Type="http://schemas.openxmlformats.org/officeDocument/2006/relationships/hyperlink" Target="https://mylearning.sumtotal.host/Core/pillarRedirect?relyingParty=LM&amp;url=core%2Factivitydetails%2FViewActivityDetails%3FActivityId%3D240857%26UserMode%3D0" TargetMode="External"/><Relationship Id="rId11" Type="http://schemas.openxmlformats.org/officeDocument/2006/relationships/hyperlink" Target="https://mylearning.sumtotal.host/Core/pillarRedirect?relyingParty=LM&amp;url=core%2Factivitydetails%2FViewActivityDetails%3FActivityId%3D67%26UserMode%3D0" TargetMode="External"/><Relationship Id="rId24" Type="http://schemas.openxmlformats.org/officeDocument/2006/relationships/hyperlink" Target="https://mylearning.sumtotal.host/Core/pillarRedirect?relyingParty=LM&amp;url=core%2Factivitydetails%2FViewActivityDetails%3FActivityId%3D64%26UserMode%3D0" TargetMode="External"/><Relationship Id="rId32" Type="http://schemas.openxmlformats.org/officeDocument/2006/relationships/hyperlink" Target="https://ihglive.fuseuniversal.com/communities/12046/contents/1288326" TargetMode="External"/><Relationship Id="rId37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79%26ClassUnderStruct%3DFalse%26CallerUrl%3D%2Flearning%2Flearner%2FHome%2FGoToPortal%3Fkey%3D0%26SearchCallerURL%3Dhttps%253A%252F%252Fmylearning.sumtotal.host%252Fcore%252FsearchRedirect%253FViewType%253DList%2526SearchText%253Dbrand%25252520experience%2526startRow%253D0%26SearchCallerID%3D2" TargetMode="External"/><Relationship Id="rId40" Type="http://schemas.openxmlformats.org/officeDocument/2006/relationships/hyperlink" Target="../../../../../../../ResponsibleBusiness/Shared%20Documents/HOTEL_RB%20Training%20Catalogue_MH%20FL%20v2024_4.pdf?web=1" TargetMode="External"/><Relationship Id="rId5" Type="http://schemas.openxmlformats.org/officeDocument/2006/relationships/hyperlink" Target="https://mylearning.sumtotal.host/Core/pillarRedirect?relyingParty=LM&amp;url=core%2Factivitydetails%2FViewActivityDetails%3FActivityId%3D240856%26UserMode%3D0" TargetMode="External"/><Relationship Id="rId15" Type="http://schemas.openxmlformats.org/officeDocument/2006/relationships/hyperlink" Target="https://mylearning.sumtotal.host/Core/pillarRedirect?relyingParty=LM&amp;url=core%2Factivitydetails%2FViewActivityDetails%3FActivityId%3D59%26UserMode%3D0" TargetMode="External"/><Relationship Id="rId23" Type="http://schemas.openxmlformats.org/officeDocument/2006/relationships/hyperlink" Target="https://mylearning.sumtotal.host/Core/pillarRedirect?relyingParty=LM&amp;url=core%2Factivitydetails%2FViewActivityDetails%3FActivityId%3D3438%26UserMode%3D0" TargetMode="External"/><Relationship Id="rId28" Type="http://schemas.openxmlformats.org/officeDocument/2006/relationships/hyperlink" Target="https://mylearning.sumtotal.host/core/pillarRedirect?relyingParty=LM&amp;url=app%2Fmanagement%2FLMS_ActDetails.aspx%3FActivityId%3D280596%26UserMode%3D0" TargetMode="External"/><Relationship Id="rId36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78%26ClassUnderStruct%3DFalse%26CallerUrl%3D%2Flearning%2Flearner%2FHome%2FGoToPortal%3Fkey%3D0%26SearchCallerURL%3Dhttps%253A%252F%252Fmylearning.sumtotal.host%252Fcore%252FsearchRedirect%253FViewType%253DList%2526SearchText%253Dbrand%25252520orientation%2526startRow%253D0%26SearchCallerID%3D2" TargetMode="External"/><Relationship Id="rId10" Type="http://schemas.openxmlformats.org/officeDocument/2006/relationships/hyperlink" Target="https://mylearning.sumtotal.host/Core/pillarRedirect?relyingParty=LM&amp;url=core%2Factivitydetails%2FViewActivityDetails%3FActivityId%3D76%26UserMode%3D0" TargetMode="External"/><Relationship Id="rId19" Type="http://schemas.openxmlformats.org/officeDocument/2006/relationships/hyperlink" Target="https://mylearning.sumtotal.host/Core/pillarRedirect?relyingParty=LM&amp;url=core%2Factivitydetails%2FViewActivityDetails%3FActivityId%3D6450%26UserMode%3D0" TargetMode="External"/><Relationship Id="rId31" Type="http://schemas.openxmlformats.org/officeDocument/2006/relationships/hyperlink" Target="https://ihglive.fuseuniversal.com/" TargetMode="External"/><Relationship Id="rId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9" Type="http://schemas.openxmlformats.org/officeDocument/2006/relationships/hyperlink" Target="https://mylearning.sumtotal.host/Core/pillarRedirect?relyingParty=LM&amp;url=core%2Factivitydetails%2FViewActivityDetails%3FActivityId%3D1963%26UserMode%3D0" TargetMode="External"/><Relationship Id="rId14" Type="http://schemas.openxmlformats.org/officeDocument/2006/relationships/hyperlink" Target="https://mylearning.sumtotal.host/Core/pillarRedirect?relyingParty=LM&amp;url=core%2Factivitydetails%2FViewActivityDetails%3FActivityId%3D57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96432%26UserMode%3d0" TargetMode="External"/><Relationship Id="rId27" Type="http://schemas.openxmlformats.org/officeDocument/2006/relationships/hyperlink" Target="https://mylearning.sumtotal.host/core/pillarRedirect?relyingParty=LM&amp;url=app%2Fmanagement%2FLMS_ActDetails.aspx%3FActivityId%3D23148%26UserMode%3D0" TargetMode="External"/><Relationship Id="rId30" Type="http://schemas.openxmlformats.org/officeDocument/2006/relationships/hyperlink" Target="https://mylearning.sumtotal.host/Core/pillarRedirect?relyingParty=LM&amp;url=core%2Factivitydetails%2FViewActivityDetails%3FActivityId%3D52090%26UserMode%3D0" TargetMode="External"/><Relationship Id="rId35" Type="http://schemas.openxmlformats.org/officeDocument/2006/relationships/hyperlink" Target="https://mylearning.sumtotal.host/core/pillarRedirect?relyingParty=LM&amp;url=app%2Fmanagement%2FLMS_ActDetails.aspx%3FActivityId%3D636193%26UserMode%3D0" TargetMode="External"/><Relationship Id="rId43" Type="http://schemas.openxmlformats.org/officeDocument/2006/relationships/hyperlink" Target="https://mylearning.sumtotal.host/core/pillarRedirect?relyingParty=LM&amp;url=app%2Fmanagement%2FLMS_ActDetails.aspx%3FActivityId%3D440%26UserMode%3D0" TargetMode="External"/><Relationship Id="rId8" Type="http://schemas.openxmlformats.org/officeDocument/2006/relationships/hyperlink" Target="https://mylearning.sumtotal.host/Core/pillarRedirect?relyingParty=LM&amp;url=core%2Factivitydetails%2FViewActivityDetails%3FActivityId%3D240855%26UserMode%3D0" TargetMode="External"/><Relationship Id="rId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TargetMode="External"/><Relationship Id="rId12" Type="http://schemas.openxmlformats.org/officeDocument/2006/relationships/hyperlink" Target="https://mylearning.sumtotal.host/Core/pillarRedirect?relyingParty=LM&amp;url=core%2Factivitydetails%2FViewActivityDetails%3FActivityId%3D68%26UserMode%3D0" TargetMode="External"/><Relationship Id="rId17" Type="http://schemas.openxmlformats.org/officeDocument/2006/relationships/hyperlink" Target="https://mylearning.sumtotal.host/Core/pillarRedirect?relyingParty=LM&amp;url=core%2Factivitydetails%2FViewActivityDetails%3FActivityId%3D25674%26UserMode%3D0" TargetMode="External"/><Relationship Id="rId25" Type="http://schemas.openxmlformats.org/officeDocument/2006/relationships/hyperlink" Target="https://mylearning.sumtotal.host/Core/pillarRedirect?relyingParty=LM&amp;url=core%2Factivitydetails%2FViewActivityDetails%3FActivityId%3D28229%26UserMode%3D0" TargetMode="External"/><Relationship Id="rId33" Type="http://schemas.openxmlformats.org/officeDocument/2006/relationships/hyperlink" Target="https://ihgfbglobal.com/regional-home-emeaa/" TargetMode="External"/><Relationship Id="rId38" Type="http://schemas.openxmlformats.org/officeDocument/2006/relationships/hyperlink" Target="https://me2.ihgmerlin.com/documents/137310422/08e55ca6-cb34-4610-856f-140e2934bb74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mylearning.sumtotal.host/Core/pillarRedirect?relyingParty=LM&amp;url=core%2Factivitydetails%2FViewActivityDetails%3FActivityId%3D60%26UserMode%3D0" TargetMode="External"/><Relationship Id="rId18" Type="http://schemas.openxmlformats.org/officeDocument/2006/relationships/hyperlink" Target="https://mylearning.sumtotal.host/Core/pillarRedirect?relyingParty=LM&amp;url=core%2Factivitydetails%2FViewActivityDetails%3FActivityId%3D25674%26UserMode%3D0" TargetMode="External"/><Relationship Id="rId26" Type="http://schemas.openxmlformats.org/officeDocument/2006/relationships/hyperlink" Target="https://mylearning.sumtotal.host/Core/pillarRedirect?relyingParty=LM&amp;url=core%2Factivitydetails%2FViewActivityDetails%3FActivityId%3D28229%26UserMode%3D0" TargetMode="External"/><Relationship Id="rId39" Type="http://schemas.openxmlformats.org/officeDocument/2006/relationships/hyperlink" Target="https://ihglive.fuseuniversal.com/" TargetMode="External"/><Relationship Id="rId21" Type="http://schemas.openxmlformats.org/officeDocument/2006/relationships/hyperlink" Target="https://mylearning.sumtotal.host/Core/pillarRedirect?relyingParty=LM&amp;url=core%2Factivitydetails%2FViewActivityDetails%3FActivityId%3D1289%26UserMode%3D0" TargetMode="External"/><Relationship Id="rId34" Type="http://schemas.openxmlformats.org/officeDocument/2006/relationships/hyperlink" Target="https://mylearning.sumtotal.host/Core/pillarRedirect?relyingParty=LM&amp;url=core%2Factivitydetails%2FViewActivityDetails%3FActivityId%3D29120%26UserMode%3D0" TargetMode="External"/><Relationship Id="rId42" Type="http://schemas.openxmlformats.org/officeDocument/2006/relationships/hyperlink" Target="https://mylearning.sumtotal.host/rcore/c/dash/www/google.com/initial?relyingParty=ELIXHRUI&amp;nodeKey=dashboard_201_Brand_Training_Sustainment&amp;nodeUrl=%2Fdash%2Fwww%2Fgoogle.com%2Finitial" TargetMode="External"/><Relationship Id="rId47" Type="http://schemas.openxmlformats.org/officeDocument/2006/relationships/hyperlink" Target="../../../../../../../ResponsibleBusiness/Shared%20Documents/HOTEL_RB%20Training%20Catalogue_MH%20Leader%20v2024_4.pdf?web=1" TargetMode="External"/><Relationship Id="rId50" Type="http://schemas.openxmlformats.org/officeDocument/2006/relationships/hyperlink" Target="https://me2.ihgmerlin.com/documents/344888240/673023797/HOTEL_RB+Training+Catalogue_Franchised+FL+v2024_4.pdf/248e52ca-f621-2a01-0d50-872508761e53?t=1727430934591" TargetMode="External"/><Relationship Id="rId7" Type="http://schemas.openxmlformats.org/officeDocument/2006/relationships/hyperlink" Target="https://mylearning.sumtotal.host/Core/pillarRedirect?relyingParty=LM&amp;url=core%2Factivitydetails%2FViewActivityDetails%3FActivityId%3D240854%26UserMode%3D0" TargetMode="External"/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TargetMode="External"/><Relationship Id="rId16" Type="http://schemas.openxmlformats.org/officeDocument/2006/relationships/hyperlink" Target="https://mylearning.sumtotal.host/Core/pillarRedirect?relyingParty=LM&amp;url=core%2Factivitydetails%2FViewActivityDetails%3FActivityId%3D58%26UserMode%3D0" TargetMode="External"/><Relationship Id="rId29" Type="http://schemas.openxmlformats.org/officeDocument/2006/relationships/hyperlink" Target="https://mylearning.sumtotal.host/core/pillarRedirect?relyingParty=LM&amp;url=app%2Fmanagement%2FLMS_ActDetails.aspx%3FActivityId%3D51705%26UserMode%3D0" TargetMode="External"/><Relationship Id="rId11" Type="http://schemas.openxmlformats.org/officeDocument/2006/relationships/hyperlink" Target="https://mylearning.sumtotal.host/Core/pillarRedirect?relyingParty=LM&amp;url=core%2Factivitydetails%2FViewActivityDetails%3FActivityId%3D67%26UserMode%3D0" TargetMode="External"/><Relationship Id="rId24" Type="http://schemas.openxmlformats.org/officeDocument/2006/relationships/hyperlink" Target="https://mylearning.sumtotal.host/Core/pillarRedirect?relyingParty=LM&amp;url=core%2Factivitydetails%2FViewActivityDetails%3FActivityId%3D3438%26UserMode%3D0" TargetMode="External"/><Relationship Id="rId32" Type="http://schemas.openxmlformats.org/officeDocument/2006/relationships/hyperlink" Target="https://mylearning.sumtotal.host/core/pillarRedirect?relyingParty=LM&amp;url=app%2Fmanagement%2FLMS_ActDetails.aspx%3FActivityId%3D23148%26UserMode%3D0" TargetMode="External"/><Relationship Id="rId37" Type="http://schemas.openxmlformats.org/officeDocument/2006/relationships/hyperlink" Target="https://mylearning.sumtotal.host/core/pillarRedirect?relyingParty=LM&amp;url=app%2Fmanagement%2FLMS_ActDetails.aspx%3FActivityId%3D280596%26UserMode%3D0" TargetMode="External"/><Relationship Id="rId40" Type="http://schemas.openxmlformats.org/officeDocument/2006/relationships/hyperlink" Target="https://ihglive.fuseuniversal.com/communities/12046/contents/1288326" TargetMode="External"/><Relationship Id="rId45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6426%26ClassUnderStruct%3DFalse%26CallerUrl%3D%2Flearning%2Flearner%2FHome%2FGoToPortal%3Fkey%3D0%26SearchCallerURL%3Dhttps%253A%252F%252Fmylearning.sumtotal.host%252Fcore%252FsearchRedirect%253FViewType%253DList%2526SearchText%253Dvoco%25252520experience%2526startRow%253D0%26SearchCallerID%3D2" TargetMode="External"/><Relationship Id="rId5" Type="http://schemas.openxmlformats.org/officeDocument/2006/relationships/hyperlink" Target="https://mylearning.sumtotal.host/Core/pillarRedirect?relyingParty=LM&amp;url=core%2Factivitydetails%2FViewActivityDetails%3FActivityId%3D240856%26UserMode%3D0" TargetMode="External"/><Relationship Id="rId15" Type="http://schemas.openxmlformats.org/officeDocument/2006/relationships/hyperlink" Target="https://mylearning.sumtotal.host/Core/pillarRedirect?relyingParty=LM&amp;url=core%2Factivitydetails%2FViewActivityDetails%3FActivityId%3D59%26UserMode%3D0" TargetMode="External"/><Relationship Id="rId23" Type="http://schemas.openxmlformats.org/officeDocument/2006/relationships/hyperlink" Target="https://mylearning.sumtotal.host/core/pillarRedirect?relyingParty=LM&amp;url=app%2fmanagement%2fLMS_ActDetails.aspx%3fActivityId%3d96432%26UserMode%3d0" TargetMode="External"/><Relationship Id="rId28" Type="http://schemas.openxmlformats.org/officeDocument/2006/relationships/hyperlink" Target="https://mylearning.sumtotal.host/core/pillarRedirect?relyingParty=LM&amp;url=app%2Fmanagement%2FLMS_ActDetails.aspx%3FActivityId%3D29120%26UserMode%3D0" TargetMode="External"/><Relationship Id="rId36" Type="http://schemas.openxmlformats.org/officeDocument/2006/relationships/hyperlink" Target="https://mylearning.sumtotal.host/Core/pillarRedirect?relyingParty=LM&amp;url=core%2Factivitydetails%2FViewActivityDetails%3FActivityId%3D29121%26UserMode%3D0" TargetMode="External"/><Relationship Id="rId49" Type="http://schemas.openxmlformats.org/officeDocument/2006/relationships/hyperlink" Target="https://me2.ihgmerlin.com/documents/344888240/673023797/HOTEL_RB+Training+Catalogue_Franchised_Leader+v2024_4.pdf/a2069f50-82f1-078b-758e-9e981e3a85db?t=1727430935374" TargetMode="External"/><Relationship Id="rId10" Type="http://schemas.openxmlformats.org/officeDocument/2006/relationships/hyperlink" Target="https://mylearning.sumtotal.host/Core/pillarRedirect?relyingParty=LM&amp;url=core%2Factivitydetails%2FViewActivityDetails%3FActivityId%3D76%26UserMode%3D0" TargetMode="External"/><Relationship Id="rId19" Type="http://schemas.openxmlformats.org/officeDocument/2006/relationships/hyperlink" Target="https://mylearning.sumtotal.host/Core/pillarRedirect?relyingParty=LM&amp;url=core%2Factivitydetails%2FViewActivityDetails%3FActivityId%3D62%26UserMode%3D0" TargetMode="External"/><Relationship Id="rId31" Type="http://schemas.openxmlformats.org/officeDocument/2006/relationships/hyperlink" Target="https://mylearning.sumtotal.host/Core/pillarRedirect?relyingParty=LM&amp;url=core%2Factivitydetails%2FViewActivityDetails%3FActivityId%3D23166%26UserMode%3D0" TargetMode="External"/><Relationship Id="rId4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3735%26ClassUnderStruct%3DFalse%26CallerUrl%3D%2Flearning%2Flearner%2FHome%2FGoToPortal%3Fkey%3D0%26SearchCallerURL%3Dhttps%253A%252F%252Fmylearning.sumtotal.host%252Fcore%252FsearchRedirect%253FViewType%253DList%2526SearchText%253Dvoco%25252520orientation%2526startRow%253D0%26SearchCallerID%3D2" TargetMode="External"/><Relationship Id="rId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9" Type="http://schemas.openxmlformats.org/officeDocument/2006/relationships/hyperlink" Target="https://mylearning.sumtotal.host/Core/pillarRedirect?relyingParty=LM&amp;url=core%2Factivitydetails%2FViewActivityDetails%3FActivityId%3D1963%26UserMode%3D0" TargetMode="External"/><Relationship Id="rId14" Type="http://schemas.openxmlformats.org/officeDocument/2006/relationships/hyperlink" Target="https://mylearning.sumtotal.host/Core/pillarRedirect?relyingParty=LM&amp;url=core%2Factivitydetails%2FViewActivityDetails%3FActivityId%3D57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27" Type="http://schemas.openxmlformats.org/officeDocument/2006/relationships/hyperlink" Target="https://mylearning.sumtotal.host/core/pillarRedirect?relyingParty=LM&amp;url=app%2Fmanagement%2FLMS_ActDetails.aspx%3FActivityId%3D29123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29121%26UserMode%3D0" TargetMode="External"/><Relationship Id="rId35" Type="http://schemas.openxmlformats.org/officeDocument/2006/relationships/hyperlink" Target="https://mylearning.sumtotal.host/Core/pillarRedirect?relyingParty=LM&amp;url=core%2Factivitydetails%2FViewActivityDetails%3FActivityId%3D51705%26UserMode%3D0" TargetMode="External"/><Relationship Id="rId43" Type="http://schemas.openxmlformats.org/officeDocument/2006/relationships/hyperlink" Target="https://mylearning.sumtotal.host/core/pillarRedirect?relyingParty=LM&amp;url=app%2Fmanagement%2FLMS_ActDetails.aspx%3FActivityId%3D636193%26UserMode%3D0" TargetMode="External"/><Relationship Id="rId48" Type="http://schemas.openxmlformats.org/officeDocument/2006/relationships/hyperlink" Target="../../../../../../../ResponsibleBusiness/Shared%20Documents/HOTEL_RB%20Training%20Catalogue_MH%20FL%20v2024_4.pdf?web=1" TargetMode="External"/><Relationship Id="rId8" Type="http://schemas.openxmlformats.org/officeDocument/2006/relationships/hyperlink" Target="https://mylearning.sumtotal.host/Core/pillarRedirect?relyingParty=LM&amp;url=core%2Factivitydetails%2FViewActivityDetails%3FActivityId%3D240855%26UserMode%3D0" TargetMode="External"/><Relationship Id="rId51" Type="http://schemas.openxmlformats.org/officeDocument/2006/relationships/hyperlink" Target="https://mylearning.sumtotal.host/core/pillarRedirect?relyingParty=LM&amp;url=app%2Fmanagement%2FLMS_ActDetails.aspx%3FActivityId%3D440%26UserMode%3D0" TargetMode="External"/><Relationship Id="rId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TargetMode="External"/><Relationship Id="rId12" Type="http://schemas.openxmlformats.org/officeDocument/2006/relationships/hyperlink" Target="https://mylearning.sumtotal.host/Core/pillarRedirect?relyingParty=LM&amp;url=core%2Factivitydetails%2FViewActivityDetails%3FActivityId%3D68%26UserMode%3D0" TargetMode="External"/><Relationship Id="rId17" Type="http://schemas.openxmlformats.org/officeDocument/2006/relationships/hyperlink" Target="https://mylearning.sumtotal.host/Core/pillarRedirect?relyingParty=LM&amp;url=core%2Factivitydetails%2FViewActivityDetails%3FActivityId%3D52090%26UserMode%3D0" TargetMode="External"/><Relationship Id="rId25" Type="http://schemas.openxmlformats.org/officeDocument/2006/relationships/hyperlink" Target="https://mylearning.sumtotal.host/Core/pillarRedirect?relyingParty=LM&amp;url=core%2Factivitydetails%2FViewActivityDetails%3FActivityId%3D64%26UserMode%3D0" TargetMode="External"/><Relationship Id="rId33" Type="http://schemas.openxmlformats.org/officeDocument/2006/relationships/hyperlink" Target="https://mylearning.sumtotal.host/Core/pillarRedirect?relyingParty=LM&amp;url=core%2Factivitydetails%2FViewActivityDetails%3FActivityId%3D29123%26UserMode%3D0" TargetMode="External"/><Relationship Id="rId38" Type="http://schemas.openxmlformats.org/officeDocument/2006/relationships/hyperlink" Target="https://mylearning.sumtotal.host/core/pillarRedirect?relyingParty=LM&amp;url=app%2Fmanagement%2FLMS_ActDetails.aspx%3FActivityId%3D310962%26UserMode%3D0" TargetMode="External"/><Relationship Id="rId46" Type="http://schemas.openxmlformats.org/officeDocument/2006/relationships/hyperlink" Target="https://me2.ihgmerlin.com/documents/137310422/08e55ca6-cb34-4610-856f-140e2934bb74" TargetMode="External"/><Relationship Id="rId20" Type="http://schemas.openxmlformats.org/officeDocument/2006/relationships/hyperlink" Target="https://mylearning.sumtotal.host/Core/pillarRedirect?relyingParty=LM&amp;url=core%2Factivitydetails%2FViewActivityDetails%3FActivityId%3D6450%26UserMode%3D0" TargetMode="External"/><Relationship Id="rId41" Type="http://schemas.openxmlformats.org/officeDocument/2006/relationships/hyperlink" Target="https://ihgfbglobal.com/regional-home-emeaa/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TargetMode="External"/><Relationship Id="rId6" Type="http://schemas.openxmlformats.org/officeDocument/2006/relationships/hyperlink" Target="https://mylearning.sumtotal.host/Core/pillarRedirect?relyingParty=LM&amp;url=core%2Factivitydetails%2FViewActivityDetails%3FActivityId%3D240857%26UserMode%3D0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mylearning.sumtotal.host/Core/pillarRedirect?relyingParty=LM&amp;url=core%2Factivitydetails%2FViewActivityDetails%3FActivityId%3D60%26UserMode%3D0" TargetMode="External"/><Relationship Id="rId18" Type="http://schemas.openxmlformats.org/officeDocument/2006/relationships/hyperlink" Target="https://mylearning.sumtotal.host/Core/pillarRedirect?relyingParty=LM&amp;url=core%2Factivitydetails%2FViewActivityDetails%3FActivityId%3D25674%26UserMode%3D0" TargetMode="External"/><Relationship Id="rId26" Type="http://schemas.openxmlformats.org/officeDocument/2006/relationships/hyperlink" Target="https://mylearning.sumtotal.host/Core/pillarRedirect?relyingParty=LM&amp;url=core%2Factivitydetails%2FViewActivityDetails%3FActivityId%3D28229%26UserMode%3D0" TargetMode="External"/><Relationship Id="rId39" Type="http://schemas.openxmlformats.org/officeDocument/2006/relationships/hyperlink" Target="https://mylearning.sumtotal.host/Core/pillarRedirect?relyingParty=LM&amp;url=core%2Factivitydetails%2FViewActivityDetails%3FActivityId%3D29121%26UserMode%3D0" TargetMode="External"/><Relationship Id="rId21" Type="http://schemas.openxmlformats.org/officeDocument/2006/relationships/hyperlink" Target="https://mylearning.sumtotal.host/Core/pillarRedirect?relyingParty=LM&amp;url=core%2Factivitydetails%2FViewActivityDetails%3FActivityId%3D1289%26UserMode%3D0" TargetMode="External"/><Relationship Id="rId34" Type="http://schemas.openxmlformats.org/officeDocument/2006/relationships/hyperlink" Target="https://mylearning.sumtotal.host/Core/pillarRedirect?relyingParty=LM&amp;url=core%2Factivitydetails%2FViewActivityDetails%3FActivityId%3D23166%26UserMode%3D0" TargetMode="External"/><Relationship Id="rId42" Type="http://schemas.openxmlformats.org/officeDocument/2006/relationships/hyperlink" Target="https://ihglive.fuseuniversal.com/" TargetMode="External"/><Relationship Id="rId47" Type="http://schemas.openxmlformats.org/officeDocument/2006/relationships/hyperlink" Target="https://me2.ihgmerlin.com/documents/137310422/08e55ca6-cb34-4610-856f-140e2934bb74" TargetMode="External"/><Relationship Id="rId50" Type="http://schemas.openxmlformats.org/officeDocument/2006/relationships/hyperlink" Target="https://me2.ihgmerlin.com/documents/344888240/673023797/HOTEL_RB+Training+Catalogue_Franchised_Leader+v2024_4.pdf/a2069f50-82f1-078b-758e-9e981e3a85db?t=1727430935374" TargetMode="External"/><Relationship Id="rId7" Type="http://schemas.openxmlformats.org/officeDocument/2006/relationships/hyperlink" Target="https://mylearning.sumtotal.host/Core/pillarRedirect?relyingParty=LM&amp;url=core%2Factivitydetails%2FViewActivityDetails%3FActivityId%3D240854%26UserMode%3D0" TargetMode="External"/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TargetMode="External"/><Relationship Id="rId16" Type="http://schemas.openxmlformats.org/officeDocument/2006/relationships/hyperlink" Target="https://mylearning.sumtotal.host/Core/pillarRedirect?relyingParty=LM&amp;url=core%2Factivitydetails%2FViewActivityDetails%3FActivityId%3D58%26UserMode%3D0" TargetMode="External"/><Relationship Id="rId29" Type="http://schemas.openxmlformats.org/officeDocument/2006/relationships/hyperlink" Target="https://mylearning.sumtotal.host/core/pillarRedirect?relyingParty=LM&amp;url=app%2Fmanagement%2FLMS_ActDetails.aspx%3FActivityId%3D6627%26UserMode%3D0" TargetMode="External"/><Relationship Id="rId11" Type="http://schemas.openxmlformats.org/officeDocument/2006/relationships/hyperlink" Target="https://mylearning.sumtotal.host/Core/pillarRedirect?relyingParty=LM&amp;url=core%2Factivitydetails%2FViewActivityDetails%3FActivityId%3D67%26UserMode%3D0" TargetMode="External"/><Relationship Id="rId24" Type="http://schemas.openxmlformats.org/officeDocument/2006/relationships/hyperlink" Target="https://mylearning.sumtotal.host/Core/pillarRedirect?relyingParty=LM&amp;url=core%2Factivitydetails%2FViewActivityDetails%3FActivityId%3D3438%26UserMode%3D0" TargetMode="External"/><Relationship Id="rId32" Type="http://schemas.openxmlformats.org/officeDocument/2006/relationships/hyperlink" Target="https://mylearning.sumtotal.host/core/pillarRedirect?relyingParty=LM&amp;url=app%2Fmanagement%2FLMS_ActDetails.aspx%3FActivityId%3D51705%26UserMode%3D0" TargetMode="External"/><Relationship Id="rId37" Type="http://schemas.openxmlformats.org/officeDocument/2006/relationships/hyperlink" Target="https://mylearning.sumtotal.host/Core/pillarRedirect?relyingParty=LM&amp;url=core%2Factivitydetails%2FViewActivityDetails%3FActivityId%3D29120%26UserMode%3D0" TargetMode="External"/><Relationship Id="rId40" Type="http://schemas.openxmlformats.org/officeDocument/2006/relationships/hyperlink" Target="https://mylearning.sumtotal.host/core/pillarRedirect?relyingParty=LM&amp;url=app%2Fmanagement%2FLMS_ActDetails.aspx%3FActivityId%3D280596%26UserMode%3D0" TargetMode="External"/><Relationship Id="rId45" Type="http://schemas.openxmlformats.org/officeDocument/2006/relationships/hyperlink" Target="https://mylearning.sumtotal.host/rcore/c/dash/www/google.com/initial?relyingParty=ELIXHRUI&amp;nodeKey=dashboard_201_Brand_Training_Sustainment&amp;nodeUrl=%2Fdash%2Fwww%2Fgoogle.com%2Finitial" TargetMode="External"/><Relationship Id="rId5" Type="http://schemas.openxmlformats.org/officeDocument/2006/relationships/hyperlink" Target="https://mylearning.sumtotal.host/Core/pillarRedirect?relyingParty=LM&amp;url=core%2Factivitydetails%2FViewActivityDetails%3FActivityId%3D240856%26UserMode%3D0" TargetMode="External"/><Relationship Id="rId15" Type="http://schemas.openxmlformats.org/officeDocument/2006/relationships/hyperlink" Target="https://mylearning.sumtotal.host/Core/pillarRedirect?relyingParty=LM&amp;url=core%2Factivitydetails%2FViewActivityDetails%3FActivityId%3D59%26UserMode%3D0" TargetMode="External"/><Relationship Id="rId23" Type="http://schemas.openxmlformats.org/officeDocument/2006/relationships/hyperlink" Target="https://mylearning.sumtotal.host/core/pillarRedirect?relyingParty=LM&amp;url=app%2fmanagement%2fLMS_ActDetails.aspx%3fActivityId%3d96432%26UserMode%3d0" TargetMode="External"/><Relationship Id="rId28" Type="http://schemas.openxmlformats.org/officeDocument/2006/relationships/hyperlink" Target="https://mylearning.sumtotal.host/core/pillarRedirect?relyingParty=LM&amp;url=app%2Fmanagement%2FLMS_ActDetails.aspx%3FActivityId%3D10772%26UserMode%3D0" TargetMode="External"/><Relationship Id="rId36" Type="http://schemas.openxmlformats.org/officeDocument/2006/relationships/hyperlink" Target="https://mylearning.sumtotal.host/Core/pillarRedirect?relyingParty=LM&amp;url=core%2Factivitydetails%2FViewActivityDetails%3FActivityId%3D29123%26UserMode%3D0" TargetMode="External"/><Relationship Id="rId49" Type="http://schemas.openxmlformats.org/officeDocument/2006/relationships/hyperlink" Target="../../../../../../../ResponsibleBusiness/Shared%20Documents/HOTEL_RB%20Training%20Catalogue_MH%20FL%20v2024_4.pdf?web=1" TargetMode="External"/><Relationship Id="rId10" Type="http://schemas.openxmlformats.org/officeDocument/2006/relationships/hyperlink" Target="https://mylearning.sumtotal.host/Core/pillarRedirect?relyingParty=LM&amp;url=core%2Factivitydetails%2FViewActivityDetails%3FActivityId%3D76%26UserMode%3D0" TargetMode="External"/><Relationship Id="rId19" Type="http://schemas.openxmlformats.org/officeDocument/2006/relationships/hyperlink" Target="https://mylearning.sumtotal.host/Core/pillarRedirect?relyingParty=LM&amp;url=core%2Factivitydetails%2FViewActivityDetails%3FActivityId%3D62%26UserMode%3D0" TargetMode="External"/><Relationship Id="rId31" Type="http://schemas.openxmlformats.org/officeDocument/2006/relationships/hyperlink" Target="https://mylearning.sumtotal.host/core/pillarRedirect?relyingParty=LM&amp;url=app%2Fmanagement%2FLMS_ActDetails.aspx%3FActivityId%3D29120%26UserMode%3D0" TargetMode="External"/><Relationship Id="rId44" Type="http://schemas.openxmlformats.org/officeDocument/2006/relationships/hyperlink" Target="https://ihgfbglobal.com/regional-home-emeaa/" TargetMode="External"/><Relationship Id="rId52" Type="http://schemas.openxmlformats.org/officeDocument/2006/relationships/hyperlink" Target="https://mylearning.sumtotal.host/core/pillarRedirect?relyingParty=LM&amp;url=app%2Fmanagement%2FLMS_ActDetails.aspx%3FActivityId%3D440%26UserMode%3D0" TargetMode="External"/><Relationship Id="rId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9" Type="http://schemas.openxmlformats.org/officeDocument/2006/relationships/hyperlink" Target="https://mylearning.sumtotal.host/Core/pillarRedirect?relyingParty=LM&amp;url=core%2Factivitydetails%2FViewActivityDetails%3FActivityId%3D1963%26UserMode%3D0" TargetMode="External"/><Relationship Id="rId14" Type="http://schemas.openxmlformats.org/officeDocument/2006/relationships/hyperlink" Target="https://mylearning.sumtotal.host/Core/pillarRedirect?relyingParty=LM&amp;url=core%2Factivitydetails%2FViewActivityDetails%3FActivityId%3D57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27" Type="http://schemas.openxmlformats.org/officeDocument/2006/relationships/hyperlink" Target="https://mylearning.sumtotal.host/core/pillarRedirect?relyingParty=LM&amp;url=app%2Fmanagement%2FLMS_ActDetails.aspx%3FActivityId%3D10699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29123%26UserMode%3D0" TargetMode="External"/><Relationship Id="rId35" Type="http://schemas.openxmlformats.org/officeDocument/2006/relationships/hyperlink" Target="https://mylearning.sumtotal.host/core/pillarRedirect?relyingParty=LM&amp;url=app%2Fmanagement%2FLMS_ActDetails.aspx%3FActivityId%3D23148%26UserMode%3D0" TargetMode="External"/><Relationship Id="rId43" Type="http://schemas.openxmlformats.org/officeDocument/2006/relationships/hyperlink" Target="https://ihglive.fuseuniversal.com/communities/12046/contents/1288326" TargetMode="External"/><Relationship Id="rId48" Type="http://schemas.openxmlformats.org/officeDocument/2006/relationships/hyperlink" Target="../../../../../../../ResponsibleBusiness/Shared%20Documents/HOTEL_RB%20Training%20Catalogue_MH%20Leader%20v2024_4.pdf?web=1" TargetMode="External"/><Relationship Id="rId8" Type="http://schemas.openxmlformats.org/officeDocument/2006/relationships/hyperlink" Target="https://mylearning.sumtotal.host/Core/pillarRedirect?relyingParty=LM&amp;url=core%2Factivitydetails%2FViewActivityDetails%3FActivityId%3D240855%26UserMode%3D0" TargetMode="External"/><Relationship Id="rId51" Type="http://schemas.openxmlformats.org/officeDocument/2006/relationships/hyperlink" Target="https://me2.ihgmerlin.com/documents/344888240/673023797/HOTEL_RB+Training+Catalogue_Franchised+FL+v2024_4.pdf/248e52ca-f621-2a01-0d50-872508761e53?t=1727430934591" TargetMode="External"/><Relationship Id="rId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TargetMode="External"/><Relationship Id="rId12" Type="http://schemas.openxmlformats.org/officeDocument/2006/relationships/hyperlink" Target="https://mylearning.sumtotal.host/Core/pillarRedirect?relyingParty=LM&amp;url=core%2Factivitydetails%2FViewActivityDetails%3FActivityId%3D68%26UserMode%3D0" TargetMode="External"/><Relationship Id="rId17" Type="http://schemas.openxmlformats.org/officeDocument/2006/relationships/hyperlink" Target="https://mylearning.sumtotal.host/Core/pillarRedirect?relyingParty=LM&amp;url=core%2Factivitydetails%2FViewActivityDetails%3FActivityId%3D52090%26UserMode%3D0" TargetMode="External"/><Relationship Id="rId25" Type="http://schemas.openxmlformats.org/officeDocument/2006/relationships/hyperlink" Target="https://mylearning.sumtotal.host/Core/pillarRedirect?relyingParty=LM&amp;url=core%2Factivitydetails%2FViewActivityDetails%3FActivityId%3D64%26UserMode%3D0" TargetMode="External"/><Relationship Id="rId33" Type="http://schemas.openxmlformats.org/officeDocument/2006/relationships/hyperlink" Target="https://mylearning.sumtotal.host/core/pillarRedirect?relyingParty=LM&amp;url=app%2Fmanagement%2FLMS_ActDetails.aspx%3FActivityId%3D29121%26UserMode%3D0" TargetMode="External"/><Relationship Id="rId38" Type="http://schemas.openxmlformats.org/officeDocument/2006/relationships/hyperlink" Target="https://mylearning.sumtotal.host/Core/pillarRedirect?relyingParty=LM&amp;url=core%2Factivitydetails%2FViewActivityDetails%3FActivityId%3D51705%26UserMode%3D0" TargetMode="External"/><Relationship Id="rId46" Type="http://schemas.openxmlformats.org/officeDocument/2006/relationships/hyperlink" Target="https://mylearning.sumtotal.host/core/pillarRedirect?relyingParty=LM&amp;url=app%2Fmanagement%2FLMS_ActDetails.aspx%3FActivityId%3D636193%26UserMode%3D0" TargetMode="External"/><Relationship Id="rId20" Type="http://schemas.openxmlformats.org/officeDocument/2006/relationships/hyperlink" Target="https://mylearning.sumtotal.host/Core/pillarRedirect?relyingParty=LM&amp;url=core%2Factivitydetails%2FViewActivityDetails%3FActivityId%3D6450%26UserMode%3D0" TargetMode="External"/><Relationship Id="rId41" Type="http://schemas.openxmlformats.org/officeDocument/2006/relationships/hyperlink" Target="https://mylearning.sumtotal.host/core/pillarRedirect?relyingParty=LM&amp;url=app%2Fmanagement%2FLMS_ActDetails.aspx%3FActivityId%3D310962%26UserMode%3D0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TargetMode="External"/><Relationship Id="rId6" Type="http://schemas.openxmlformats.org/officeDocument/2006/relationships/hyperlink" Target="https://mylearning.sumtotal.host/Core/pillarRedirect?relyingParty=LM&amp;url=core%2Factivitydetails%2FViewActivityDetails%3FActivityId%3D240857%26UserMode%3D0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mylearning.sumtotal.host/Core/pillarRedirect?relyingParty=LM&amp;url=core%2Factivitydetails%2FViewActivityDetails%3FActivityId%3D60%26UserMode%3D0" TargetMode="External"/><Relationship Id="rId18" Type="http://schemas.openxmlformats.org/officeDocument/2006/relationships/hyperlink" Target="https://mylearning.sumtotal.host/Core/pillarRedirect?relyingParty=LM&amp;url=core%2Factivitydetails%2FViewActivityDetails%3FActivityId%3D25674%26UserMode%3D0" TargetMode="External"/><Relationship Id="rId26" Type="http://schemas.openxmlformats.org/officeDocument/2006/relationships/hyperlink" Target="https://mylearning.sumtotal.host/Core/pillarRedirect?relyingParty=LM&amp;url=core%2Factivitydetails%2FViewActivityDetails%3FActivityId%3D28229%26UserMode%3D0" TargetMode="External"/><Relationship Id="rId39" Type="http://schemas.openxmlformats.org/officeDocument/2006/relationships/hyperlink" Target="https://ihglive.fuseuniversal.com/" TargetMode="External"/><Relationship Id="rId21" Type="http://schemas.openxmlformats.org/officeDocument/2006/relationships/hyperlink" Target="https://mylearning.sumtotal.host/Core/pillarRedirect?relyingParty=LM&amp;url=core%2Factivitydetails%2FViewActivityDetails%3FActivityId%3D1289%26UserMode%3D0" TargetMode="External"/><Relationship Id="rId34" Type="http://schemas.openxmlformats.org/officeDocument/2006/relationships/hyperlink" Target="https://mylearning.sumtotal.host/Core/pillarRedirect?relyingParty=LM&amp;url=core%2Factivitydetails%2FViewActivityDetails%3FActivityId%3D29120%26UserMode%3D0" TargetMode="External"/><Relationship Id="rId42" Type="http://schemas.openxmlformats.org/officeDocument/2006/relationships/hyperlink" Target="https://mylearning.sumtotal.host/core/pillarRedirect?relyingParty=LM&amp;url=app%2Fmanagement%2FLMS_ActDetails.aspx%3FActivityId%3D636193%26UserMode%3D0" TargetMode="External"/><Relationship Id="rId47" Type="http://schemas.openxmlformats.org/officeDocument/2006/relationships/hyperlink" Target="../../../../../../../ResponsibleBusiness/Shared%20Documents/HOTEL_RB%20Training%20Catalogue_MH%20FL%20v2024_4.pdf?web=1" TargetMode="External"/><Relationship Id="rId50" Type="http://schemas.openxmlformats.org/officeDocument/2006/relationships/hyperlink" Target="https://mylearning.sumtotal.host/core/pillarRedirect?relyingParty=LM&amp;url=app%2Fmanagement%2FLMS_ActDetails.aspx%3FActivityId%3D440%26UserMode%3D0" TargetMode="External"/><Relationship Id="rId7" Type="http://schemas.openxmlformats.org/officeDocument/2006/relationships/hyperlink" Target="https://mylearning.sumtotal.host/Core/pillarRedirect?relyingParty=LM&amp;url=core%2Factivitydetails%2FViewActivityDetails%3FActivityId%3D240854%26UserMode%3D0" TargetMode="External"/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TargetMode="External"/><Relationship Id="rId16" Type="http://schemas.openxmlformats.org/officeDocument/2006/relationships/hyperlink" Target="https://mylearning.sumtotal.host/Core/pillarRedirect?relyingParty=LM&amp;url=core%2Factivitydetails%2FViewActivityDetails%3FActivityId%3D58%26UserMode%3D0" TargetMode="External"/><Relationship Id="rId29" Type="http://schemas.openxmlformats.org/officeDocument/2006/relationships/hyperlink" Target="https://mylearning.sumtotal.host/core/pillarRedirect?relyingParty=LM&amp;url=app%2Fmanagement%2FLMS_ActDetails.aspx%3FActivityId%3D51705%26UserMode%3D0" TargetMode="External"/><Relationship Id="rId11" Type="http://schemas.openxmlformats.org/officeDocument/2006/relationships/hyperlink" Target="https://mylearning.sumtotal.host/Core/pillarRedirect?relyingParty=LM&amp;url=core%2Factivitydetails%2FViewActivityDetails%3FActivityId%3D67%26UserMode%3D0" TargetMode="External"/><Relationship Id="rId24" Type="http://schemas.openxmlformats.org/officeDocument/2006/relationships/hyperlink" Target="https://mylearning.sumtotal.host/Core/pillarRedirect?relyingParty=LM&amp;url=core%2Factivitydetails%2FViewActivityDetails%3FActivityId%3D3438%26UserMode%3D0" TargetMode="External"/><Relationship Id="rId32" Type="http://schemas.openxmlformats.org/officeDocument/2006/relationships/hyperlink" Target="https://mylearning.sumtotal.host/core/pillarRedirect?relyingParty=LM&amp;url=app%2Fmanagement%2FLMS_ActDetails.aspx%3FActivityId%3D23148%26UserMode%3D0" TargetMode="External"/><Relationship Id="rId37" Type="http://schemas.openxmlformats.org/officeDocument/2006/relationships/hyperlink" Target="https://mylearning.sumtotal.host/core/pillarRedirect?relyingParty=LM&amp;url=app%2Fmanagement%2FLMS_ActDetails.aspx%3FActivityId%3D280596%26UserMode%3D0" TargetMode="External"/><Relationship Id="rId40" Type="http://schemas.openxmlformats.org/officeDocument/2006/relationships/hyperlink" Target="https://ihglive.fuseuniversal.com/communities/12046/contents/1288326" TargetMode="External"/><Relationship Id="rId45" Type="http://schemas.openxmlformats.org/officeDocument/2006/relationships/hyperlink" Target="https://me2.ihgmerlin.com/documents/137310422/08e55ca6-cb34-4610-856f-140e2934bb74" TargetMode="External"/><Relationship Id="rId5" Type="http://schemas.openxmlformats.org/officeDocument/2006/relationships/hyperlink" Target="https://mylearning.sumtotal.host/Core/pillarRedirect?relyingParty=LM&amp;url=core%2Factivitydetails%2FViewActivityDetails%3FActivityId%3D240856%26UserMode%3D0" TargetMode="External"/><Relationship Id="rId15" Type="http://schemas.openxmlformats.org/officeDocument/2006/relationships/hyperlink" Target="https://mylearning.sumtotal.host/Core/pillarRedirect?relyingParty=LM&amp;url=core%2Factivitydetails%2FViewActivityDetails%3FActivityId%3D59%26UserMode%3D0" TargetMode="External"/><Relationship Id="rId23" Type="http://schemas.openxmlformats.org/officeDocument/2006/relationships/hyperlink" Target="https://mylearning.sumtotal.host/core/pillarRedirect?relyingParty=LM&amp;url=app%2fmanagement%2fLMS_ActDetails.aspx%3fActivityId%3d96432%26UserMode%3d0" TargetMode="External"/><Relationship Id="rId28" Type="http://schemas.openxmlformats.org/officeDocument/2006/relationships/hyperlink" Target="https://mylearning.sumtotal.host/core/pillarRedirect?relyingParty=LM&amp;url=app%2Fmanagement%2FLMS_ActDetails.aspx%3FActivityId%3D29120%26UserMode%3D0" TargetMode="External"/><Relationship Id="rId36" Type="http://schemas.openxmlformats.org/officeDocument/2006/relationships/hyperlink" Target="https://mylearning.sumtotal.host/Core/pillarRedirect?relyingParty=LM&amp;url=core%2Factivitydetails%2FViewActivityDetails%3FActivityId%3D29121%26UserMode%3D0" TargetMode="External"/><Relationship Id="rId49" Type="http://schemas.openxmlformats.org/officeDocument/2006/relationships/hyperlink" Target="https://me2.ihgmerlin.com/documents/344888240/673023797/HOTEL_RB+Training+Catalogue_Franchised+FL+v2024_4.pdf/248e52ca-f621-2a01-0d50-872508761e53?t=1727430934591" TargetMode="External"/><Relationship Id="rId10" Type="http://schemas.openxmlformats.org/officeDocument/2006/relationships/hyperlink" Target="https://mylearning.sumtotal.host/Core/pillarRedirect?relyingParty=LM&amp;url=core%2Factivitydetails%2FViewActivityDetails%3FActivityId%3D76%26UserMode%3D0" TargetMode="External"/><Relationship Id="rId19" Type="http://schemas.openxmlformats.org/officeDocument/2006/relationships/hyperlink" Target="https://mylearning.sumtotal.host/Core/pillarRedirect?relyingParty=LM&amp;url=core%2Factivitydetails%2FViewActivityDetails%3FActivityId%3D62%26UserMode%3D0" TargetMode="External"/><Relationship Id="rId31" Type="http://schemas.openxmlformats.org/officeDocument/2006/relationships/hyperlink" Target="https://mylearning.sumtotal.host/Core/pillarRedirect?relyingParty=LM&amp;url=core%2Factivitydetails%2FViewActivityDetails%3FActivityId%3D23166%26UserMode%3D0" TargetMode="External"/><Relationship Id="rId4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4870%26ClassUnderStruct%3DFalse%26CallerUrl%3D%2Flearning%2Flearner%2FHome%2FGoToPortal%3Fkey%3D0%26SearchCallerURL%3Dhttps%253A%252F%252Fmylearning.sumtotal.host%252Fcore%252FsearchRedirect%253FViewType%253DList%2526SearchText%253Dbrand%25252520experience%2526startRow%253D0%26SearchCallerID%3D2" TargetMode="External"/><Relationship Id="rId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9" Type="http://schemas.openxmlformats.org/officeDocument/2006/relationships/hyperlink" Target="https://mylearning.sumtotal.host/Core/pillarRedirect?relyingParty=LM&amp;url=core%2Factivitydetails%2FViewActivityDetails%3FActivityId%3D1963%26UserMode%3D0" TargetMode="External"/><Relationship Id="rId14" Type="http://schemas.openxmlformats.org/officeDocument/2006/relationships/hyperlink" Target="https://mylearning.sumtotal.host/Core/pillarRedirect?relyingParty=LM&amp;url=core%2Factivitydetails%2FViewActivityDetails%3FActivityId%3D57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27" Type="http://schemas.openxmlformats.org/officeDocument/2006/relationships/hyperlink" Target="https://mylearning.sumtotal.host/core/pillarRedirect?relyingParty=LM&amp;url=app%2Fmanagement%2FLMS_ActDetails.aspx%3FActivityId%3D29123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29121%26UserMode%3D0" TargetMode="External"/><Relationship Id="rId35" Type="http://schemas.openxmlformats.org/officeDocument/2006/relationships/hyperlink" Target="https://mylearning.sumtotal.host/Core/pillarRedirect?relyingParty=LM&amp;url=core%2Factivitydetails%2FViewActivityDetails%3FActivityId%3D51705%26UserMode%3D0" TargetMode="External"/><Relationship Id="rId4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4835%26ClassUnderStruct%3DFalse%26CallerUrl%3D%2Flearning%2Flearner%2FHome%2FGoToPortal%3Fkey%3D0%26SearchCallerURL%3Dhttps%253A%252F%252Fmylearning.sumtotal.host%252Fcore%252FsearchRedirect%253FViewType%253DList%2526SearchText%253Dhotel%25252520indigo%25252520brand%25252520orientation%2526startRow%253D0%26SearchCallerID%3D2" TargetMode="External"/><Relationship Id="rId48" Type="http://schemas.openxmlformats.org/officeDocument/2006/relationships/hyperlink" Target="https://me2.ihgmerlin.com/documents/344888240/673023797/HOTEL_RB+Training+Catalogue_Franchised_Leader+v2024_4.pdf/a2069f50-82f1-078b-758e-9e981e3a85db?t=1727430935374" TargetMode="External"/><Relationship Id="rId8" Type="http://schemas.openxmlformats.org/officeDocument/2006/relationships/hyperlink" Target="https://mylearning.sumtotal.host/Core/pillarRedirect?relyingParty=LM&amp;url=core%2Factivitydetails%2FViewActivityDetails%3FActivityId%3D240855%26UserMode%3D0" TargetMode="External"/><Relationship Id="rId51" Type="http://schemas.openxmlformats.org/officeDocument/2006/relationships/printerSettings" Target="../printerSettings/printerSettings3.bin"/><Relationship Id="rId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TargetMode="External"/><Relationship Id="rId12" Type="http://schemas.openxmlformats.org/officeDocument/2006/relationships/hyperlink" Target="https://mylearning.sumtotal.host/Core/pillarRedirect?relyingParty=LM&amp;url=core%2Factivitydetails%2FViewActivityDetails%3FActivityId%3D68%26UserMode%3D0" TargetMode="External"/><Relationship Id="rId17" Type="http://schemas.openxmlformats.org/officeDocument/2006/relationships/hyperlink" Target="https://mylearning.sumtotal.host/Core/pillarRedirect?relyingParty=LM&amp;url=core%2Factivitydetails%2FViewActivityDetails%3FActivityId%3D52090%26UserMode%3D0" TargetMode="External"/><Relationship Id="rId25" Type="http://schemas.openxmlformats.org/officeDocument/2006/relationships/hyperlink" Target="https://mylearning.sumtotal.host/Core/pillarRedirect?relyingParty=LM&amp;url=core%2Factivitydetails%2FViewActivityDetails%3FActivityId%3D64%26UserMode%3D0" TargetMode="External"/><Relationship Id="rId33" Type="http://schemas.openxmlformats.org/officeDocument/2006/relationships/hyperlink" Target="https://mylearning.sumtotal.host/Core/pillarRedirect?relyingParty=LM&amp;url=core%2Factivitydetails%2FViewActivityDetails%3FActivityId%3D29123%26UserMode%3D0" TargetMode="External"/><Relationship Id="rId38" Type="http://schemas.openxmlformats.org/officeDocument/2006/relationships/hyperlink" Target="https://mylearning.sumtotal.host/core/pillarRedirect?relyingParty=LM&amp;url=app%2Fmanagement%2FLMS_ActDetails.aspx%3FActivityId%3D310962%26UserMode%3D0" TargetMode="External"/><Relationship Id="rId46" Type="http://schemas.openxmlformats.org/officeDocument/2006/relationships/hyperlink" Target="../../../../../../../ResponsibleBusiness/Shared%20Documents/HOTEL_RB%20Training%20Catalogue_MH%20Leader%20v2024_4.pdf?web=1" TargetMode="External"/><Relationship Id="rId20" Type="http://schemas.openxmlformats.org/officeDocument/2006/relationships/hyperlink" Target="https://mylearning.sumtotal.host/Core/pillarRedirect?relyingParty=LM&amp;url=core%2Factivitydetails%2FViewActivityDetails%3FActivityId%3D6450%26UserMode%3D0" TargetMode="External"/><Relationship Id="rId41" Type="http://schemas.openxmlformats.org/officeDocument/2006/relationships/hyperlink" Target="https://mylearning.sumtotal.host/rcore/c/dash/www/google.com/initial?relyingParty=ELIXHRUI&amp;nodeKey=dashboard_201_Brand_Training_Sustainment&amp;nodeUrl=%2Fdash%2Fwww%2Fgoogle.com%2Finitial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TargetMode="External"/><Relationship Id="rId6" Type="http://schemas.openxmlformats.org/officeDocument/2006/relationships/hyperlink" Target="https://mylearning.sumtotal.host/Core/pillarRedirect?relyingParty=LM&amp;url=core%2Factivitydetails%2FViewActivityDetails%3FActivityId%3D240857%26UserMode%3D0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mylearning.sumtotal.host/Core/pillarRedirect?relyingParty=LM&amp;url=core%2Factivitydetails%2FViewActivityDetails%3FActivityId%3D60%26UserMode%3D0" TargetMode="External"/><Relationship Id="rId18" Type="http://schemas.openxmlformats.org/officeDocument/2006/relationships/hyperlink" Target="https://mylearning.sumtotal.host/Core/pillarRedirect?relyingParty=LM&amp;url=core%2Factivitydetails%2FViewActivityDetails%3FActivityId%3D25674%26UserMode%3D0" TargetMode="External"/><Relationship Id="rId26" Type="http://schemas.openxmlformats.org/officeDocument/2006/relationships/hyperlink" Target="https://mylearning.sumtotal.host/Core/pillarRedirect?relyingParty=LM&amp;url=core%2Factivitydetails%2FViewActivityDetails%3FActivityId%3D28229%26UserMode%3D0" TargetMode="External"/><Relationship Id="rId39" Type="http://schemas.openxmlformats.org/officeDocument/2006/relationships/hyperlink" Target="https://mylearning.sumtotal.host/core/pillarRedirect?relyingParty=LM&amp;url=app%2Fmanagement%2FLMS_ActDetails.aspx%3FActivityId%3D636193%26UserMode%3D0" TargetMode="External"/><Relationship Id="rId21" Type="http://schemas.openxmlformats.org/officeDocument/2006/relationships/hyperlink" Target="https://mylearning.sumtotal.host/Core/pillarRedirect?relyingParty=LM&amp;url=core%2Factivitydetails%2FViewActivityDetails%3FActivityId%3D1289%26UserMode%3D0" TargetMode="External"/><Relationship Id="rId34" Type="http://schemas.openxmlformats.org/officeDocument/2006/relationships/hyperlink" Target="https://mylearning.sumtotal.host/core/pillarRedirect?relyingParty=LM&amp;url=app%2Fmanagement%2FLMS_ActDetails.aspx%3FActivityId%3D310962%26UserMode%3D0" TargetMode="External"/><Relationship Id="rId42" Type="http://schemas.openxmlformats.org/officeDocument/2006/relationships/hyperlink" Target="../../../../../../../ResponsibleBusiness/Shared%20Documents/HOTEL_RB%20Training%20Catalogue_MH%20Leader%20v2024_4.pdf?web=1" TargetMode="External"/><Relationship Id="rId47" Type="http://schemas.openxmlformats.org/officeDocument/2006/relationships/printerSettings" Target="../printerSettings/printerSettings4.bin"/><Relationship Id="rId7" Type="http://schemas.openxmlformats.org/officeDocument/2006/relationships/hyperlink" Target="https://mylearning.sumtotal.host/Core/pillarRedirect?relyingParty=LM&amp;url=core%2Factivitydetails%2FViewActivityDetails%3FActivityId%3D240854%26UserMode%3D0" TargetMode="External"/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TargetMode="External"/><Relationship Id="rId16" Type="http://schemas.openxmlformats.org/officeDocument/2006/relationships/hyperlink" Target="https://mylearning.sumtotal.host/Core/pillarRedirect?relyingParty=LM&amp;url=core%2Factivitydetails%2FViewActivityDetails%3FActivityId%3D58%26UserMode%3D0" TargetMode="External"/><Relationship Id="rId29" Type="http://schemas.openxmlformats.org/officeDocument/2006/relationships/hyperlink" Target="https://mylearning.sumtotal.host/Core/pillarRedirect?relyingParty=LM&amp;url=core%2Factivitydetails%2FViewActivityDetails%3FActivityId%3D29123%26UserMode%3D0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TargetMode="External"/><Relationship Id="rId6" Type="http://schemas.openxmlformats.org/officeDocument/2006/relationships/hyperlink" Target="https://mylearning.sumtotal.host/Core/pillarRedirect?relyingParty=LM&amp;url=core%2Factivitydetails%2FViewActivityDetails%3FActivityId%3D240857%26UserMode%3D0" TargetMode="External"/><Relationship Id="rId11" Type="http://schemas.openxmlformats.org/officeDocument/2006/relationships/hyperlink" Target="https://mylearning.sumtotal.host/Core/pillarRedirect?relyingParty=LM&amp;url=core%2Factivitydetails%2FViewActivityDetails%3FActivityId%3D67%26UserMode%3D0" TargetMode="External"/><Relationship Id="rId24" Type="http://schemas.openxmlformats.org/officeDocument/2006/relationships/hyperlink" Target="https://mylearning.sumtotal.host/Core/pillarRedirect?relyingParty=LM&amp;url=core%2Factivitydetails%2FViewActivityDetails%3FActivityId%3D3438%26UserMode%3D0" TargetMode="External"/><Relationship Id="rId32" Type="http://schemas.openxmlformats.org/officeDocument/2006/relationships/hyperlink" Target="https://mylearning.sumtotal.host/Core/pillarRedirect?relyingParty=LM&amp;url=core%2Factivitydetails%2FViewActivityDetails%3FActivityId%3D29121%26UserMode%3D0" TargetMode="External"/><Relationship Id="rId37" Type="http://schemas.openxmlformats.org/officeDocument/2006/relationships/hyperlink" Target="https://ihgfbglobal.com/regional-home-emeaa/" TargetMode="External"/><Relationship Id="rId40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3590%26ClassUnderStruct%3DFalse%26CallerUrl%3D%2Flearning%2Flearner%2FHome%2FGoToPortal%3Fkey%3D0%26SearchCallerURL%3Dhttps%253A%252F%252Fmylearning.sumtotal.host%252Fcore%252FsearchRedirect%253FViewType%253DList%2526SearchText%253Dluxury%25252520fundamentals%2526startRow%253D0%26SearchCallerID%3D2" TargetMode="External"/><Relationship Id="rId45" Type="http://schemas.openxmlformats.org/officeDocument/2006/relationships/hyperlink" Target="https://me2.ihgmerlin.com/documents/344888240/673023797/HOTEL_RB+Training+Catalogue_Franchised+FL+v2024_4.pdf/248e52ca-f621-2a01-0d50-872508761e53?t=1727430934591" TargetMode="External"/><Relationship Id="rId5" Type="http://schemas.openxmlformats.org/officeDocument/2006/relationships/hyperlink" Target="https://mylearning.sumtotal.host/Core/pillarRedirect?relyingParty=LM&amp;url=core%2Factivitydetails%2FViewActivityDetails%3FActivityId%3D240856%26UserMode%3D0" TargetMode="External"/><Relationship Id="rId15" Type="http://schemas.openxmlformats.org/officeDocument/2006/relationships/hyperlink" Target="https://mylearning.sumtotal.host/Core/pillarRedirect?relyingParty=LM&amp;url=core%2Factivitydetails%2FViewActivityDetails%3FActivityId%3D59%26UserMode%3D0" TargetMode="External"/><Relationship Id="rId23" Type="http://schemas.openxmlformats.org/officeDocument/2006/relationships/hyperlink" Target="https://mylearning.sumtotal.host/core/pillarRedirect?relyingParty=LM&amp;url=app%2fmanagement%2fLMS_ActDetails.aspx%3fActivityId%3d96432%26UserMode%3d0" TargetMode="External"/><Relationship Id="rId28" Type="http://schemas.openxmlformats.org/officeDocument/2006/relationships/hyperlink" Target="https://mylearning.sumtotal.host/core/pillarRedirect?relyingParty=LM&amp;url=app%2Fmanagement%2FLMS_ActDetails.aspx%3FActivityId%3D23148%26UserMode%3D0" TargetMode="External"/><Relationship Id="rId36" Type="http://schemas.openxmlformats.org/officeDocument/2006/relationships/hyperlink" Target="https://ihglive.fuseuniversal.com/communities/12046/contents/1288326" TargetMode="External"/><Relationship Id="rId10" Type="http://schemas.openxmlformats.org/officeDocument/2006/relationships/hyperlink" Target="https://mylearning.sumtotal.host/Core/pillarRedirect?relyingParty=LM&amp;url=core%2Factivitydetails%2FViewActivityDetails%3FActivityId%3D76%26UserMode%3D0" TargetMode="External"/><Relationship Id="rId19" Type="http://schemas.openxmlformats.org/officeDocument/2006/relationships/hyperlink" Target="https://mylearning.sumtotal.host/Core/pillarRedirect?relyingParty=LM&amp;url=core%2Factivitydetails%2FViewActivityDetails%3FActivityId%3D62%26UserMode%3D0" TargetMode="External"/><Relationship Id="rId31" Type="http://schemas.openxmlformats.org/officeDocument/2006/relationships/hyperlink" Target="https://mylearning.sumtotal.host/Core/pillarRedirect?relyingParty=LM&amp;url=core%2Factivitydetails%2FViewActivityDetails%3FActivityId%3D51705%26UserMode%3D0" TargetMode="External"/><Relationship Id="rId44" Type="http://schemas.openxmlformats.org/officeDocument/2006/relationships/hyperlink" Target="https://me2.ihgmerlin.com/documents/344888240/673023797/HOTEL_RB+Training+Catalogue_Franchised_Leader+v2024_4.pdf/a2069f50-82f1-078b-758e-9e981e3a85db?t=1727430935374" TargetMode="External"/><Relationship Id="rId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9" Type="http://schemas.openxmlformats.org/officeDocument/2006/relationships/hyperlink" Target="https://mylearning.sumtotal.host/Core/pillarRedirect?relyingParty=LM&amp;url=core%2Factivitydetails%2FViewActivityDetails%3FActivityId%3D1963%26UserMode%3D0" TargetMode="External"/><Relationship Id="rId14" Type="http://schemas.openxmlformats.org/officeDocument/2006/relationships/hyperlink" Target="https://mylearning.sumtotal.host/Core/pillarRedirect?relyingParty=LM&amp;url=core%2Factivitydetails%2FViewActivityDetails%3FActivityId%3D57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27" Type="http://schemas.openxmlformats.org/officeDocument/2006/relationships/hyperlink" Target="https://mylearning.sumtotal.host/Core/pillarRedirect?relyingParty=LM&amp;url=core%2Factivitydetails%2FViewActivityDetails%3FActivityId%3D23166%26UserMode%3D0" TargetMode="External"/><Relationship Id="rId30" Type="http://schemas.openxmlformats.org/officeDocument/2006/relationships/hyperlink" Target="https://mylearning.sumtotal.host/Core/pillarRedirect?relyingParty=LM&amp;url=core%2Factivitydetails%2FViewActivityDetails%3FActivityId%3D29120%26UserMode%3D0" TargetMode="External"/><Relationship Id="rId35" Type="http://schemas.openxmlformats.org/officeDocument/2006/relationships/hyperlink" Target="https://ihglive.fuseuniversal.com/" TargetMode="External"/><Relationship Id="rId43" Type="http://schemas.openxmlformats.org/officeDocument/2006/relationships/hyperlink" Target="../../../../../../../ResponsibleBusiness/Shared%20Documents/HOTEL_RB%20Training%20Catalogue_MH%20FL%20v2024_4.pdf?web=1" TargetMode="External"/><Relationship Id="rId8" Type="http://schemas.openxmlformats.org/officeDocument/2006/relationships/hyperlink" Target="https://mylearning.sumtotal.host/Core/pillarRedirect?relyingParty=LM&amp;url=core%2Factivitydetails%2FViewActivityDetails%3FActivityId%3D240855%26UserMode%3D0" TargetMode="External"/><Relationship Id="rId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TargetMode="External"/><Relationship Id="rId12" Type="http://schemas.openxmlformats.org/officeDocument/2006/relationships/hyperlink" Target="https://mylearning.sumtotal.host/Core/pillarRedirect?relyingParty=LM&amp;url=core%2Factivitydetails%2FViewActivityDetails%3FActivityId%3D68%26UserMode%3D0" TargetMode="External"/><Relationship Id="rId17" Type="http://schemas.openxmlformats.org/officeDocument/2006/relationships/hyperlink" Target="https://mylearning.sumtotal.host/Core/pillarRedirect?relyingParty=LM&amp;url=core%2Factivitydetails%2FViewActivityDetails%3FActivityId%3D52090%26UserMode%3D0" TargetMode="External"/><Relationship Id="rId25" Type="http://schemas.openxmlformats.org/officeDocument/2006/relationships/hyperlink" Target="https://mylearning.sumtotal.host/Core/pillarRedirect?relyingParty=LM&amp;url=core%2Factivitydetails%2FViewActivityDetails%3FActivityId%3D64%26UserMode%3D0" TargetMode="External"/><Relationship Id="rId33" Type="http://schemas.openxmlformats.org/officeDocument/2006/relationships/hyperlink" Target="https://mylearning.sumtotal.host/core/pillarRedirect?relyingParty=LM&amp;url=app%2Fmanagement%2FLMS_ActDetails.aspx%3FActivityId%3D280596%26UserMode%3D0" TargetMode="External"/><Relationship Id="rId38" Type="http://schemas.openxmlformats.org/officeDocument/2006/relationships/hyperlink" Target="https://mylearning.sumtotal.host/rcore/c/dash/www/google.com/initial?relyingParty=ELIXHRUI&amp;nodeKey=dashboard_201_Brand_Training_Sustainment&amp;nodeUrl=%2Fdash%2Fwww%2Fgoogle.com%2Finitial" TargetMode="External"/><Relationship Id="rId46" Type="http://schemas.openxmlformats.org/officeDocument/2006/relationships/hyperlink" Target="https://mylearning.sumtotal.host/core/pillarRedirect?relyingParty=LM&amp;url=app%2Fmanagement%2FLMS_ActDetails.aspx%3FActivityId%3D440%26UserMode%3D0" TargetMode="External"/><Relationship Id="rId20" Type="http://schemas.openxmlformats.org/officeDocument/2006/relationships/hyperlink" Target="https://mylearning.sumtotal.host/Core/pillarRedirect?relyingParty=LM&amp;url=core%2Factivitydetails%2FViewActivityDetails%3FActivityId%3D6450%26UserMode%3D0" TargetMode="External"/><Relationship Id="rId41" Type="http://schemas.openxmlformats.org/officeDocument/2006/relationships/hyperlink" Target="https://me2.ihgmerlin.com/documents/137310422/08e55ca6-cb34-4610-856f-140e2934bb74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mylearning.sumtotal.host/Core/pillarRedirect?relyingParty=LM&amp;url=core%2Factivitydetails%2FViewActivityDetails%3FActivityId%3D57%26UserMode%3D0" TargetMode="External"/><Relationship Id="rId18" Type="http://schemas.openxmlformats.org/officeDocument/2006/relationships/hyperlink" Target="https://mylearning.sumtotal.host/Core/pillarRedirect?relyingParty=LM&amp;url=core%2Factivitydetails%2FViewActivityDetails%3FActivityId%3D62%26UserMode%3D0" TargetMode="External"/><Relationship Id="rId26" Type="http://schemas.openxmlformats.org/officeDocument/2006/relationships/hyperlink" Target="https://mylearning.sumtotal.host/Core/pillarRedirect?relyingParty=LM&amp;url=core%2Factivitydetails%2FViewActivityDetails%3FActivityId%3D23166%26UserMode%3D0" TargetMode="External"/><Relationship Id="rId39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3590%26ClassUnderStruct%3DFalse%26CallerUrl%3D%2Flearning%2Flearner%2FHome%2FGoToPortal%3Fkey%3D0%26SearchCallerURL%3Dhttps%253A%252F%252Fmylearning.sumtotal.host%252Fcore%252FsearchRedirect%253FViewType%253DList%2526SearchText%253Dluxury%25252520fundamentals%2526startRow%253D0%26SearchCallerID%3D2" TargetMode="External"/><Relationship Id="rId21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34" Type="http://schemas.openxmlformats.org/officeDocument/2006/relationships/hyperlink" Target="https://ihglive.fuseuniversal.com/" TargetMode="External"/><Relationship Id="rId42" Type="http://schemas.openxmlformats.org/officeDocument/2006/relationships/hyperlink" Target="https://me2.ihgmerlin.com/documents/137310422/08e55ca6-cb34-4610-856f-140e2934bb74" TargetMode="External"/><Relationship Id="rId47" Type="http://schemas.openxmlformats.org/officeDocument/2006/relationships/hyperlink" Target="https://mylearning.sumtotal.host/core/pillarRedirect?relyingParty=LM&amp;url=app%2Fmanagement%2FLMS_ActDetails.aspx%3FActivityId%3D440%26UserMode%3D0" TargetMode="External"/><Relationship Id="rId7" Type="http://schemas.openxmlformats.org/officeDocument/2006/relationships/hyperlink" Target="https://mylearning.sumtotal.host/Core/pillarRedirect?relyingParty=LM&amp;url=core%2Factivitydetails%2FViewActivityDetails%3FActivityId%3D240855%26UserMode%3D0" TargetMode="External"/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TargetMode="External"/><Relationship Id="rId16" Type="http://schemas.openxmlformats.org/officeDocument/2006/relationships/hyperlink" Target="https://mylearning.sumtotal.host/Core/pillarRedirect?relyingParty=LM&amp;url=core%2Factivitydetails%2FViewActivityDetails%3FActivityId%3D52090%26UserMode%3D0" TargetMode="External"/><Relationship Id="rId29" Type="http://schemas.openxmlformats.org/officeDocument/2006/relationships/hyperlink" Target="https://mylearning.sumtotal.host/Core/pillarRedirect?relyingParty=LM&amp;url=core%2Factivitydetails%2FViewActivityDetails%3FActivityId%3D29120%26UserMode%3D0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TargetMode="External"/><Relationship Id="rId6" Type="http://schemas.openxmlformats.org/officeDocument/2006/relationships/hyperlink" Target="https://mylearning.sumtotal.host/Core/pillarRedirect?relyingParty=LM&amp;url=core%2Factivitydetails%2FViewActivityDetails%3FActivityId%3D240854%26UserMode%3D0" TargetMode="External"/><Relationship Id="rId11" Type="http://schemas.openxmlformats.org/officeDocument/2006/relationships/hyperlink" Target="https://mylearning.sumtotal.host/Core/pillarRedirect?relyingParty=LM&amp;url=core%2Factivitydetails%2FViewActivityDetails%3FActivityId%3D68%26UserMode%3D0" TargetMode="External"/><Relationship Id="rId24" Type="http://schemas.openxmlformats.org/officeDocument/2006/relationships/hyperlink" Target="https://mylearning.sumtotal.host/Core/pillarRedirect?relyingParty=LM&amp;url=core%2Factivitydetails%2FViewActivityDetails%3FActivityId%3D64%26UserMode%3D0" TargetMode="External"/><Relationship Id="rId32" Type="http://schemas.openxmlformats.org/officeDocument/2006/relationships/hyperlink" Target="https://mylearning.sumtotal.host/core/pillarRedirect?relyingParty=LM&amp;url=app%2Fmanagement%2FLMS_ActDetails.aspx%3FActivityId%3D280596%26UserMode%3D0" TargetMode="External"/><Relationship Id="rId37" Type="http://schemas.openxmlformats.org/officeDocument/2006/relationships/hyperlink" Target="https://mylearning.sumtotal.host/rcore/c/dash/www/google.com/initial?relyingParty=ELIXHRUI&amp;nodeKey=dashboard_201_Brand_Training_Sustainment&amp;nodeUrl=%2Fdash%2Fwww%2Fgoogle.com%2Finitial" TargetMode="External"/><Relationship Id="rId40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03%26ClassUnderStruct%3DFalse%26CallerUrl%3D%2Flearning%2Flearner%2FHome%2FGoToPortal%3Fkey%3D0%26SearchCallerURL%3Dhttps%253A%252F%252Fmylearning.sumtotal.host%252Fcore%252FsearchRedirect%253FViewType%253DList%2526SearchText%253Dintercontinental%2526startRow%253D0%26SearchCallerID%3D2" TargetMode="External"/><Relationship Id="rId45" Type="http://schemas.openxmlformats.org/officeDocument/2006/relationships/hyperlink" Target="https://me2.ihgmerlin.com/documents/344888240/673023797/HOTEL_RB+Training+Catalogue_Franchised_Leader+v2024_4.pdf/a2069f50-82f1-078b-758e-9e981e3a85db?t=1727430935374" TargetMode="External"/><Relationship Id="rId5" Type="http://schemas.openxmlformats.org/officeDocument/2006/relationships/hyperlink" Target="https://mylearning.sumtotal.host/Core/pillarRedirect?relyingParty=LM&amp;url=core%2Factivitydetails%2FViewActivityDetails%3FActivityId%3D240857%26UserMode%3D0" TargetMode="External"/><Relationship Id="rId15" Type="http://schemas.openxmlformats.org/officeDocument/2006/relationships/hyperlink" Target="https://mylearning.sumtotal.host/Core/pillarRedirect?relyingParty=LM&amp;url=core%2Factivitydetails%2FViewActivityDetails%3FActivityId%3D58%26UserMode%3D0" TargetMode="External"/><Relationship Id="rId23" Type="http://schemas.openxmlformats.org/officeDocument/2006/relationships/hyperlink" Target="https://mylearning.sumtotal.host/Core/pillarRedirect?relyingParty=LM&amp;url=core%2Factivitydetails%2FViewActivityDetails%3FActivityId%3D3438%26UserMode%3D0" TargetMode="External"/><Relationship Id="rId28" Type="http://schemas.openxmlformats.org/officeDocument/2006/relationships/hyperlink" Target="https://mylearning.sumtotal.host/Core/pillarRedirect?relyingParty=LM&amp;url=core%2Factivitydetails%2FViewActivityDetails%3FActivityId%3D29123%26UserMode%3D0" TargetMode="External"/><Relationship Id="rId36" Type="http://schemas.openxmlformats.org/officeDocument/2006/relationships/hyperlink" Target="https://ihgfbglobal.com/regional-home-emeaa/" TargetMode="External"/><Relationship Id="rId10" Type="http://schemas.openxmlformats.org/officeDocument/2006/relationships/hyperlink" Target="https://mylearning.sumtotal.host/Core/pillarRedirect?relyingParty=LM&amp;url=core%2Factivitydetails%2FViewActivityDetails%3FActivityId%3D67%26UserMode%3D0" TargetMode="External"/><Relationship Id="rId19" Type="http://schemas.openxmlformats.org/officeDocument/2006/relationships/hyperlink" Target="https://mylearning.sumtotal.host/Core/pillarRedirect?relyingParty=LM&amp;url=core%2Factivitydetails%2FViewActivityDetails%3FActivityId%3D6450%26UserMode%3D0" TargetMode="External"/><Relationship Id="rId31" Type="http://schemas.openxmlformats.org/officeDocument/2006/relationships/hyperlink" Target="https://mylearning.sumtotal.host/Core/pillarRedirect?relyingParty=LM&amp;url=core%2Factivitydetails%2FViewActivityDetails%3FActivityId%3D29121%26UserMode%3D0" TargetMode="External"/><Relationship Id="rId44" Type="http://schemas.openxmlformats.org/officeDocument/2006/relationships/hyperlink" Target="../../../../../../../ResponsibleBusiness/Shared%20Documents/HOTEL_RB%20Training%20Catalogue_MH%20FL%20v2024_4.pdf?web=1" TargetMode="External"/><Relationship Id="rId4" Type="http://schemas.openxmlformats.org/officeDocument/2006/relationships/hyperlink" Target="https://mylearning.sumtotal.host/Core/pillarRedirect?relyingParty=LM&amp;url=core%2Factivitydetails%2FViewActivityDetails%3FActivityId%3D240856%26UserMode%3D0" TargetMode="External"/><Relationship Id="rId9" Type="http://schemas.openxmlformats.org/officeDocument/2006/relationships/hyperlink" Target="https://mylearning.sumtotal.host/Core/pillarRedirect?relyingParty=LM&amp;url=core%2Factivitydetails%2FViewActivityDetails%3FActivityId%3D76%26UserMode%3D0" TargetMode="External"/><Relationship Id="rId14" Type="http://schemas.openxmlformats.org/officeDocument/2006/relationships/hyperlink" Target="https://mylearning.sumtotal.host/Core/pillarRedirect?relyingParty=LM&amp;url=core%2Factivitydetails%2FViewActivityDetails%3FActivityId%3D59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96432%26UserMode%3d0" TargetMode="External"/><Relationship Id="rId27" Type="http://schemas.openxmlformats.org/officeDocument/2006/relationships/hyperlink" Target="https://mylearning.sumtotal.host/core/pillarRedirect?relyingParty=LM&amp;url=app%2Fmanagement%2FLMS_ActDetails.aspx%3FActivityId%3D23148%26UserMode%3D0" TargetMode="External"/><Relationship Id="rId30" Type="http://schemas.openxmlformats.org/officeDocument/2006/relationships/hyperlink" Target="https://mylearning.sumtotal.host/Core/pillarRedirect?relyingParty=LM&amp;url=core%2Factivitydetails%2FViewActivityDetails%3FActivityId%3D51705%26UserMode%3D0" TargetMode="External"/><Relationship Id="rId35" Type="http://schemas.openxmlformats.org/officeDocument/2006/relationships/hyperlink" Target="https://ihglive.fuseuniversal.com/communities/12046/contents/1288326" TargetMode="External"/><Relationship Id="rId43" Type="http://schemas.openxmlformats.org/officeDocument/2006/relationships/hyperlink" Target="../../../../../../../ResponsibleBusiness/Shared%20Documents/HOTEL_RB%20Training%20Catalogue_MH%20Leader%20v2024_4.pdf?web=1" TargetMode="External"/><Relationship Id="rId48" Type="http://schemas.openxmlformats.org/officeDocument/2006/relationships/hyperlink" Target="https://mylearning.sumtotal.host/core/pillarRedirect?relyingParty=LM&amp;url=app%2Fmanagement%2FLMS_ActDetails.aspx%3FActivityId%3D240858%26UserMode%3D0" TargetMode="External"/><Relationship Id="rId8" Type="http://schemas.openxmlformats.org/officeDocument/2006/relationships/hyperlink" Target="https://mylearning.sumtotal.host/Core/pillarRedirect?relyingParty=LM&amp;url=core%2Factivitydetails%2FViewActivityDetails%3FActivityId%3D1963%26UserMode%3D0" TargetMode="External"/><Relationship Id="rId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12" Type="http://schemas.openxmlformats.org/officeDocument/2006/relationships/hyperlink" Target="https://mylearning.sumtotal.host/Core/pillarRedirect?relyingParty=LM&amp;url=core%2Factivitydetails%2FViewActivityDetails%3FActivityId%3D60%26UserMode%3D0" TargetMode="External"/><Relationship Id="rId17" Type="http://schemas.openxmlformats.org/officeDocument/2006/relationships/hyperlink" Target="https://mylearning.sumtotal.host/Core/pillarRedirect?relyingParty=LM&amp;url=core%2Factivitydetails%2FViewActivityDetails%3FActivityId%3D25674%26UserMode%3D0" TargetMode="External"/><Relationship Id="rId25" Type="http://schemas.openxmlformats.org/officeDocument/2006/relationships/hyperlink" Target="https://mylearning.sumtotal.host/Core/pillarRedirect?relyingParty=LM&amp;url=core%2Factivitydetails%2FViewActivityDetails%3FActivityId%3D28229%26UserMode%3D0" TargetMode="External"/><Relationship Id="rId33" Type="http://schemas.openxmlformats.org/officeDocument/2006/relationships/hyperlink" Target="https://mylearning.sumtotal.host/core/pillarRedirect?relyingParty=LM&amp;url=app%2Fmanagement%2FLMS_ActDetails.aspx%3FActivityId%3D310962%26UserMode%3D0" TargetMode="External"/><Relationship Id="rId38" Type="http://schemas.openxmlformats.org/officeDocument/2006/relationships/hyperlink" Target="https://mylearning.sumtotal.host/core/pillarRedirect?relyingParty=LM&amp;url=app%2Fmanagement%2FLMS_ActDetails.aspx%3FActivityId%3D636193%26UserMode%3D0" TargetMode="External"/><Relationship Id="rId46" Type="http://schemas.openxmlformats.org/officeDocument/2006/relationships/hyperlink" Target="https://me2.ihgmerlin.com/documents/344888240/673023797/HOTEL_RB+Training+Catalogue_Franchised+FL+v2024_4.pdf/248e52ca-f621-2a01-0d50-872508761e53?t=1727430934591" TargetMode="External"/><Relationship Id="rId20" Type="http://schemas.openxmlformats.org/officeDocument/2006/relationships/hyperlink" Target="https://mylearning.sumtotal.host/Core/pillarRedirect?relyingParty=LM&amp;url=core%2Factivitydetails%2FViewActivityDetails%3FActivityId%3D1289%26UserMode%3D0" TargetMode="External"/><Relationship Id="rId4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mylearning.sumtotal.host/Core/pillarRedirect?relyingParty=LM&amp;url=core%2Factivitydetails%2FViewActivityDetails%3FActivityId%3D60%26UserMode%3D0" TargetMode="External"/><Relationship Id="rId18" Type="http://schemas.openxmlformats.org/officeDocument/2006/relationships/hyperlink" Target="https://mylearning.sumtotal.host/Core/pillarRedirect?relyingParty=LM&amp;url=core%2Factivitydetails%2FViewActivityDetails%3FActivityId%3D25674%26UserMode%3D0" TargetMode="External"/><Relationship Id="rId26" Type="http://schemas.openxmlformats.org/officeDocument/2006/relationships/hyperlink" Target="https://mylearning.sumtotal.host/Core/pillarRedirect?relyingParty=LM&amp;url=core%2Factivitydetails%2FViewActivityDetails%3FActivityId%3D28229%26UserMode%3D0" TargetMode="External"/><Relationship Id="rId39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3590%26ClassUnderStruct%3DFalse%26CallerUrl%3D%2Flearning%2Flearner%2FHome%2FGoToPortal%3Fkey%3D0%26SearchCallerURL%3Dhttps%253A%252F%252Fmylearning.sumtotal.host%252Fcore%252FsearchRedirect%253FViewType%253DList%2526SearchText%253Dluxury%25252520fundamentals%2526startRow%253D0%26SearchCallerID%3D2" TargetMode="External"/><Relationship Id="rId21" Type="http://schemas.openxmlformats.org/officeDocument/2006/relationships/hyperlink" Target="https://mylearning.sumtotal.host/Core/pillarRedirect?relyingParty=LM&amp;url=core%2Factivitydetails%2FViewActivityDetails%3FActivityId%3D1289%26UserMode%3D0" TargetMode="External"/><Relationship Id="rId34" Type="http://schemas.openxmlformats.org/officeDocument/2006/relationships/hyperlink" Target="https://mylearning.sumtotal.host/core/pillarRedirect?relyingParty=LM&amp;url=app%2Fmanagement%2FLMS_ActDetails.aspx%3FActivityId%3D310962%26UserMode%3D0" TargetMode="External"/><Relationship Id="rId42" Type="http://schemas.openxmlformats.org/officeDocument/2006/relationships/hyperlink" Target="../../../../../../../ResponsibleBusiness/Shared%20Documents/HOTEL_RB%20Training%20Catalogue_MH%20FL%20v2024_4.pdf?web=1" TargetMode="External"/><Relationship Id="rId7" Type="http://schemas.openxmlformats.org/officeDocument/2006/relationships/hyperlink" Target="https://mylearning.sumtotal.host/Core/pillarRedirect?relyingParty=LM&amp;url=core%2Factivitydetails%2FViewActivityDetails%3FActivityId%3D240854%26UserMode%3D0" TargetMode="External"/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TargetMode="External"/><Relationship Id="rId16" Type="http://schemas.openxmlformats.org/officeDocument/2006/relationships/hyperlink" Target="https://mylearning.sumtotal.host/Core/pillarRedirect?relyingParty=LM&amp;url=core%2Factivitydetails%2FViewActivityDetails%3FActivityId%3D58%26UserMode%3D0" TargetMode="External"/><Relationship Id="rId29" Type="http://schemas.openxmlformats.org/officeDocument/2006/relationships/hyperlink" Target="https://mylearning.sumtotal.host/Core/pillarRedirect?relyingParty=LM&amp;url=core%2Factivitydetails%2FViewActivityDetails%3FActivityId%3D29123%26UserMode%3D0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TargetMode="External"/><Relationship Id="rId6" Type="http://schemas.openxmlformats.org/officeDocument/2006/relationships/hyperlink" Target="https://mylearning.sumtotal.host/Core/pillarRedirect?relyingParty=LM&amp;url=core%2Factivitydetails%2FViewActivityDetails%3FActivityId%3D240857%26UserMode%3D0" TargetMode="External"/><Relationship Id="rId11" Type="http://schemas.openxmlformats.org/officeDocument/2006/relationships/hyperlink" Target="https://mylearning.sumtotal.host/Core/pillarRedirect?relyingParty=LM&amp;url=core%2Factivitydetails%2FViewActivityDetails%3FActivityId%3D67%26UserMode%3D0" TargetMode="External"/><Relationship Id="rId24" Type="http://schemas.openxmlformats.org/officeDocument/2006/relationships/hyperlink" Target="https://mylearning.sumtotal.host/Core/pillarRedirect?relyingParty=LM&amp;url=core%2Factivitydetails%2FViewActivityDetails%3FActivityId%3D3438%26UserMode%3D0" TargetMode="External"/><Relationship Id="rId32" Type="http://schemas.openxmlformats.org/officeDocument/2006/relationships/hyperlink" Target="https://mylearning.sumtotal.host/Core/pillarRedirect?relyingParty=LM&amp;url=core%2Factivitydetails%2FViewActivityDetails%3FActivityId%3D29121%26UserMode%3D0" TargetMode="External"/><Relationship Id="rId37" Type="http://schemas.openxmlformats.org/officeDocument/2006/relationships/hyperlink" Target="https://mylearning.sumtotal.host/rcore/c/dash/www/google.com/initial?relyingParty=ELIXHRUI&amp;nodeKey=dashboard_201_Brand_Training_Sustainment&amp;nodeUrl=%2Fdash%2Fwww%2Fgoogle.com%2Finitial" TargetMode="External"/><Relationship Id="rId40" Type="http://schemas.openxmlformats.org/officeDocument/2006/relationships/hyperlink" Target="https://me2.ihgmerlin.com/documents/137310422/08e55ca6-cb34-4610-856f-140e2934bb74" TargetMode="External"/><Relationship Id="rId45" Type="http://schemas.openxmlformats.org/officeDocument/2006/relationships/hyperlink" Target="https://mylearning.sumtotal.host/core/pillarRedirect?relyingParty=LM&amp;url=app%2Fmanagement%2FLMS_ActDetails.aspx%3FActivityId%3D440%26UserMode%3D0" TargetMode="External"/><Relationship Id="rId5" Type="http://schemas.openxmlformats.org/officeDocument/2006/relationships/hyperlink" Target="https://mylearning.sumtotal.host/Core/pillarRedirect?relyingParty=LM&amp;url=core%2Factivitydetails%2FViewActivityDetails%3FActivityId%3D240856%26UserMode%3D0" TargetMode="External"/><Relationship Id="rId15" Type="http://schemas.openxmlformats.org/officeDocument/2006/relationships/hyperlink" Target="https://mylearning.sumtotal.host/Core/pillarRedirect?relyingParty=LM&amp;url=core%2Factivitydetails%2FViewActivityDetails%3FActivityId%3D59%26UserMode%3D0" TargetMode="External"/><Relationship Id="rId23" Type="http://schemas.openxmlformats.org/officeDocument/2006/relationships/hyperlink" Target="https://mylearning.sumtotal.host/core/pillarRedirect?relyingParty=LM&amp;url=app%2fmanagement%2fLMS_ActDetails.aspx%3fActivityId%3d96432%26UserMode%3d0" TargetMode="External"/><Relationship Id="rId28" Type="http://schemas.openxmlformats.org/officeDocument/2006/relationships/hyperlink" Target="https://mylearning.sumtotal.host/core/pillarRedirect?relyingParty=LM&amp;url=app%2Fmanagement%2FLMS_ActDetails.aspx%3FActivityId%3D23148%26UserMode%3D0" TargetMode="External"/><Relationship Id="rId36" Type="http://schemas.openxmlformats.org/officeDocument/2006/relationships/hyperlink" Target="https://ihglive.fuseuniversal.com/communities/12046/contents/1288326" TargetMode="External"/><Relationship Id="rId10" Type="http://schemas.openxmlformats.org/officeDocument/2006/relationships/hyperlink" Target="https://mylearning.sumtotal.host/Core/pillarRedirect?relyingParty=LM&amp;url=core%2Factivitydetails%2FViewActivityDetails%3FActivityId%3D76%26UserMode%3D0" TargetMode="External"/><Relationship Id="rId19" Type="http://schemas.openxmlformats.org/officeDocument/2006/relationships/hyperlink" Target="https://mylearning.sumtotal.host/Core/pillarRedirect?relyingParty=LM&amp;url=core%2Factivitydetails%2FViewActivityDetails%3FActivityId%3D62%26UserMode%3D0" TargetMode="External"/><Relationship Id="rId31" Type="http://schemas.openxmlformats.org/officeDocument/2006/relationships/hyperlink" Target="https://mylearning.sumtotal.host/Core/pillarRedirect?relyingParty=LM&amp;url=core%2Factivitydetails%2FViewActivityDetails%3FActivityId%3D51705%26UserMode%3D0" TargetMode="External"/><Relationship Id="rId44" Type="http://schemas.openxmlformats.org/officeDocument/2006/relationships/hyperlink" Target="https://me2.ihgmerlin.com/documents/344888240/673023797/HOTEL_RB+Training+Catalogue_Franchised+FL+v2024_4.pdf/248e52ca-f621-2a01-0d50-872508761e53?t=1727430934591" TargetMode="External"/><Relationship Id="rId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9" Type="http://schemas.openxmlformats.org/officeDocument/2006/relationships/hyperlink" Target="https://mylearning.sumtotal.host/Core/pillarRedirect?relyingParty=LM&amp;url=core%2Factivitydetails%2FViewActivityDetails%3FActivityId%3D1963%26UserMode%3D0" TargetMode="External"/><Relationship Id="rId14" Type="http://schemas.openxmlformats.org/officeDocument/2006/relationships/hyperlink" Target="https://mylearning.sumtotal.host/Core/pillarRedirect?relyingParty=LM&amp;url=core%2Factivitydetails%2FViewActivityDetails%3FActivityId%3D57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27" Type="http://schemas.openxmlformats.org/officeDocument/2006/relationships/hyperlink" Target="https://mylearning.sumtotal.host/Core/pillarRedirect?relyingParty=LM&amp;url=core%2Factivitydetails%2FViewActivityDetails%3FActivityId%3D23166%26UserMode%3D0" TargetMode="External"/><Relationship Id="rId30" Type="http://schemas.openxmlformats.org/officeDocument/2006/relationships/hyperlink" Target="https://mylearning.sumtotal.host/Core/pillarRedirect?relyingParty=LM&amp;url=core%2Factivitydetails%2FViewActivityDetails%3FActivityId%3D29120%26UserMode%3D0" TargetMode="External"/><Relationship Id="rId35" Type="http://schemas.openxmlformats.org/officeDocument/2006/relationships/hyperlink" Target="https://ihglive.fuseuniversal.com/" TargetMode="External"/><Relationship Id="rId43" Type="http://schemas.openxmlformats.org/officeDocument/2006/relationships/hyperlink" Target="https://me2.ihgmerlin.com/documents/344888240/673023797/HOTEL_RB+Training+Catalogue_Franchised_Leader+v2024_4.pdf/a2069f50-82f1-078b-758e-9e981e3a85db?t=1727430935374" TargetMode="External"/><Relationship Id="rId8" Type="http://schemas.openxmlformats.org/officeDocument/2006/relationships/hyperlink" Target="https://mylearning.sumtotal.host/Core/pillarRedirect?relyingParty=LM&amp;url=core%2Factivitydetails%2FViewActivityDetails%3FActivityId%3D240855%26UserMode%3D0" TargetMode="External"/><Relationship Id="rId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TargetMode="External"/><Relationship Id="rId12" Type="http://schemas.openxmlformats.org/officeDocument/2006/relationships/hyperlink" Target="https://mylearning.sumtotal.host/Core/pillarRedirect?relyingParty=LM&amp;url=core%2Factivitydetails%2FViewActivityDetails%3FActivityId%3D68%26UserMode%3D0" TargetMode="External"/><Relationship Id="rId17" Type="http://schemas.openxmlformats.org/officeDocument/2006/relationships/hyperlink" Target="https://mylearning.sumtotal.host/Core/pillarRedirect?relyingParty=LM&amp;url=core%2Factivitydetails%2FViewActivityDetails%3FActivityId%3D52090%26UserMode%3D0" TargetMode="External"/><Relationship Id="rId25" Type="http://schemas.openxmlformats.org/officeDocument/2006/relationships/hyperlink" Target="https://mylearning.sumtotal.host/Core/pillarRedirect?relyingParty=LM&amp;url=core%2Factivitydetails%2FViewActivityDetails%3FActivityId%3D64%26UserMode%3D0" TargetMode="External"/><Relationship Id="rId33" Type="http://schemas.openxmlformats.org/officeDocument/2006/relationships/hyperlink" Target="https://mylearning.sumtotal.host/core/pillarRedirect?relyingParty=LM&amp;url=app%2Fmanagement%2FLMS_ActDetails.aspx%3FActivityId%3D280596%26UserMode%3D0" TargetMode="External"/><Relationship Id="rId38" Type="http://schemas.openxmlformats.org/officeDocument/2006/relationships/hyperlink" Target="https://mylearning.sumtotal.host/core/pillarRedirect?relyingParty=LM&amp;url=app%2Fmanagement%2FLMS_ActDetails.aspx%3FActivityId%3D636193%26UserMode%3D0" TargetMode="External"/><Relationship Id="rId20" Type="http://schemas.openxmlformats.org/officeDocument/2006/relationships/hyperlink" Target="https://mylearning.sumtotal.host/Core/pillarRedirect?relyingParty=LM&amp;url=core%2Factivitydetails%2FViewActivityDetails%3FActivityId%3D6450%26UserMode%3D0" TargetMode="External"/><Relationship Id="rId41" Type="http://schemas.openxmlformats.org/officeDocument/2006/relationships/hyperlink" Target="../../../../../../../ResponsibleBusiness/Shared%20Documents/HOTEL_RB%20Training%20Catalogue_MH%20Leader%20v2024_4.pdf?web=1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mylearning.sumtotal.host/Core/pillarRedirect?relyingParty=LM&amp;url=core%2Factivitydetails%2FViewActivityDetails%3FActivityId%3D57%26UserMode%3D0" TargetMode="External"/><Relationship Id="rId18" Type="http://schemas.openxmlformats.org/officeDocument/2006/relationships/hyperlink" Target="https://mylearning.sumtotal.host/Core/pillarRedirect?relyingParty=LM&amp;url=core%2Factivitydetails%2FViewActivityDetails%3FActivityId%3D62%26UserMode%3D0" TargetMode="External"/><Relationship Id="rId26" Type="http://schemas.openxmlformats.org/officeDocument/2006/relationships/hyperlink" Target="https://mylearning.sumtotal.host/core/pillarRedirect?relyingParty=LM&amp;url=app%2Fmanagement%2FLMS_ActDetails.aspx%3FActivityId%3D249635%26UserMode%3D0" TargetMode="External"/><Relationship Id="rId39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3590%26ClassUnderStruct%3DFalse%26CallerUrl%3D%2Flearning%2Flearner%2FHome%2FGoToPortal%3Fkey%3D0%26SearchCallerURL%3Dhttps%253A%252F%252Fmylearning.sumtotal.host%252Fcore%252FsearchRedirect%253FViewType%253DList%2526SearchText%253Dluxury%25252520fundamentals%2526startRow%253D0%26SearchCallerID%3D2" TargetMode="External"/><Relationship Id="rId21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34" Type="http://schemas.openxmlformats.org/officeDocument/2006/relationships/hyperlink" Target="https://mylearning.sumtotal.host/core/pillarRedirect?relyingParty=LM&amp;url=app%2Fmanagement%2FLMS_ActDetails.aspx%3FActivityId%3D310962%26UserMode%3D0" TargetMode="External"/><Relationship Id="rId42" Type="http://schemas.openxmlformats.org/officeDocument/2006/relationships/hyperlink" Target="../../../../../../../ResponsibleBusiness/Shared%20Documents/HOTEL_RB%20Training%20Catalogue_MH%20FL%20v2024_4.pdf?web=1" TargetMode="External"/><Relationship Id="rId7" Type="http://schemas.openxmlformats.org/officeDocument/2006/relationships/hyperlink" Target="https://mylearning.sumtotal.host/Core/pillarRedirect?relyingParty=LM&amp;url=core%2Factivitydetails%2FViewActivityDetails%3FActivityId%3D240855%26UserMode%3D0" TargetMode="External"/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TargetMode="External"/><Relationship Id="rId16" Type="http://schemas.openxmlformats.org/officeDocument/2006/relationships/hyperlink" Target="https://mylearning.sumtotal.host/Core/pillarRedirect?relyingParty=LM&amp;url=core%2Factivitydetails%2FViewActivityDetails%3FActivityId%3D52090%26UserMode%3D0" TargetMode="External"/><Relationship Id="rId29" Type="http://schemas.openxmlformats.org/officeDocument/2006/relationships/hyperlink" Target="https://mylearning.sumtotal.host/Core/pillarRedirect?relyingParty=LM&amp;url=core%2Factivitydetails%2FViewActivityDetails%3FActivityId%3D29123%26UserMode%3D0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TargetMode="External"/><Relationship Id="rId6" Type="http://schemas.openxmlformats.org/officeDocument/2006/relationships/hyperlink" Target="https://mylearning.sumtotal.host/Core/pillarRedirect?relyingParty=LM&amp;url=core%2Factivitydetails%2FViewActivityDetails%3FActivityId%3D240854%26UserMode%3D0" TargetMode="External"/><Relationship Id="rId11" Type="http://schemas.openxmlformats.org/officeDocument/2006/relationships/hyperlink" Target="https://mylearning.sumtotal.host/Core/pillarRedirect?relyingParty=LM&amp;url=core%2Factivitydetails%2FViewActivityDetails%3FActivityId%3D68%26UserMode%3D0" TargetMode="External"/><Relationship Id="rId24" Type="http://schemas.openxmlformats.org/officeDocument/2006/relationships/hyperlink" Target="https://mylearning.sumtotal.host/Core/pillarRedirect?relyingParty=LM&amp;url=core%2Factivitydetails%2FViewActivityDetails%3FActivityId%3D64%26UserMode%3D0" TargetMode="External"/><Relationship Id="rId32" Type="http://schemas.openxmlformats.org/officeDocument/2006/relationships/hyperlink" Target="https://mylearning.sumtotal.host/Core/pillarRedirect?relyingParty=LM&amp;url=core%2Factivitydetails%2FViewActivityDetails%3FActivityId%3D29121%26UserMode%3D0" TargetMode="External"/><Relationship Id="rId37" Type="http://schemas.openxmlformats.org/officeDocument/2006/relationships/hyperlink" Target="https://mylearning.sumtotal.host/rcore/c/dash/www/google.com/initial?relyingParty=ELIXHRUI&amp;nodeKey=dashboard_201_Brand_Training_Sustainment&amp;nodeUrl=%2Fdash%2Fwww%2Fgoogle.com%2Finitial" TargetMode="External"/><Relationship Id="rId40" Type="http://schemas.openxmlformats.org/officeDocument/2006/relationships/hyperlink" Target="https://me2.ihgmerlin.com/documents/137310422/08e55ca6-cb34-4610-856f-140e2934bb74" TargetMode="External"/><Relationship Id="rId45" Type="http://schemas.openxmlformats.org/officeDocument/2006/relationships/hyperlink" Target="https://mylearning.sumtotal.host/core/pillarRedirect?relyingParty=LM&amp;url=app%2Fmanagement%2FLMS_ActDetails.aspx%3FActivityId%3D440%26UserMode%3D0" TargetMode="External"/><Relationship Id="rId5" Type="http://schemas.openxmlformats.org/officeDocument/2006/relationships/hyperlink" Target="https://mylearning.sumtotal.host/Core/pillarRedirect?relyingParty=LM&amp;url=core%2Factivitydetails%2FViewActivityDetails%3FActivityId%3D240857%26UserMode%3D0" TargetMode="External"/><Relationship Id="rId15" Type="http://schemas.openxmlformats.org/officeDocument/2006/relationships/hyperlink" Target="https://mylearning.sumtotal.host/Core/pillarRedirect?relyingParty=LM&amp;url=core%2Factivitydetails%2FViewActivityDetails%3FActivityId%3D58%26UserMode%3D0" TargetMode="External"/><Relationship Id="rId23" Type="http://schemas.openxmlformats.org/officeDocument/2006/relationships/hyperlink" Target="https://mylearning.sumtotal.host/Core/pillarRedirect?relyingParty=LM&amp;url=core%2Factivitydetails%2FViewActivityDetails%3FActivityId%3D3438%26UserMode%3D0" TargetMode="External"/><Relationship Id="rId28" Type="http://schemas.openxmlformats.org/officeDocument/2006/relationships/hyperlink" Target="https://mylearning.sumtotal.host/core/pillarRedirect?relyingParty=LM&amp;url=app%2Fmanagement%2FLMS_ActDetails.aspx%3FActivityId%3D23148%26UserMode%3D0" TargetMode="External"/><Relationship Id="rId36" Type="http://schemas.openxmlformats.org/officeDocument/2006/relationships/hyperlink" Target="https://ihglive.fuseuniversal.com/communities/12046/contents/1288326" TargetMode="External"/><Relationship Id="rId10" Type="http://schemas.openxmlformats.org/officeDocument/2006/relationships/hyperlink" Target="https://mylearning.sumtotal.host/Core/pillarRedirect?relyingParty=LM&amp;url=core%2Factivitydetails%2FViewActivityDetails%3FActivityId%3D67%26UserMode%3D0" TargetMode="External"/><Relationship Id="rId19" Type="http://schemas.openxmlformats.org/officeDocument/2006/relationships/hyperlink" Target="https://mylearning.sumtotal.host/Core/pillarRedirect?relyingParty=LM&amp;url=core%2Factivitydetails%2FViewActivityDetails%3FActivityId%3D6450%26UserMode%3D0" TargetMode="External"/><Relationship Id="rId31" Type="http://schemas.openxmlformats.org/officeDocument/2006/relationships/hyperlink" Target="https://mylearning.sumtotal.host/Core/pillarRedirect?relyingParty=LM&amp;url=core%2Factivitydetails%2FViewActivityDetails%3FActivityId%3D51705%26UserMode%3D0" TargetMode="External"/><Relationship Id="rId44" Type="http://schemas.openxmlformats.org/officeDocument/2006/relationships/hyperlink" Target="https://me2.ihgmerlin.com/documents/344888240/673023797/HOTEL_RB+Training+Catalogue_Franchised+FL+v2024_4.pdf/248e52ca-f621-2a01-0d50-872508761e53?t=1727430934591" TargetMode="External"/><Relationship Id="rId4" Type="http://schemas.openxmlformats.org/officeDocument/2006/relationships/hyperlink" Target="https://mylearning.sumtotal.host/Core/pillarRedirect?relyingParty=LM&amp;url=core%2Factivitydetails%2FViewActivityDetails%3FActivityId%3D240856%26UserMode%3D0" TargetMode="External"/><Relationship Id="rId9" Type="http://schemas.openxmlformats.org/officeDocument/2006/relationships/hyperlink" Target="https://mylearning.sumtotal.host/Core/pillarRedirect?relyingParty=LM&amp;url=core%2Factivitydetails%2FViewActivityDetails%3FActivityId%3D76%26UserMode%3D0" TargetMode="External"/><Relationship Id="rId14" Type="http://schemas.openxmlformats.org/officeDocument/2006/relationships/hyperlink" Target="https://mylearning.sumtotal.host/Core/pillarRedirect?relyingParty=LM&amp;url=core%2Factivitydetails%2FViewActivityDetails%3FActivityId%3D59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96432%26UserMode%3d0" TargetMode="External"/><Relationship Id="rId27" Type="http://schemas.openxmlformats.org/officeDocument/2006/relationships/hyperlink" Target="https://mylearning.sumtotal.host/Core/pillarRedirect?relyingParty=LM&amp;url=core%2Factivitydetails%2FViewActivityDetails%3FActivityId%3D23166%26UserMode%3D0" TargetMode="External"/><Relationship Id="rId30" Type="http://schemas.openxmlformats.org/officeDocument/2006/relationships/hyperlink" Target="https://mylearning.sumtotal.host/Core/pillarRedirect?relyingParty=LM&amp;url=core%2Factivitydetails%2FViewActivityDetails%3FActivityId%3D29120%26UserMode%3D0" TargetMode="External"/><Relationship Id="rId35" Type="http://schemas.openxmlformats.org/officeDocument/2006/relationships/hyperlink" Target="https://ihglive.fuseuniversal.com/" TargetMode="External"/><Relationship Id="rId43" Type="http://schemas.openxmlformats.org/officeDocument/2006/relationships/hyperlink" Target="https://me2.ihgmerlin.com/documents/344888240/673023797/HOTEL_RB+Training+Catalogue_Franchised_Leader+v2024_4.pdf/a2069f50-82f1-078b-758e-9e981e3a85db?t=1727430935374" TargetMode="External"/><Relationship Id="rId8" Type="http://schemas.openxmlformats.org/officeDocument/2006/relationships/hyperlink" Target="https://mylearning.sumtotal.host/Core/pillarRedirect?relyingParty=LM&amp;url=core%2Factivitydetails%2FViewActivityDetails%3FActivityId%3D1963%26UserMode%3D0" TargetMode="External"/><Relationship Id="rId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12" Type="http://schemas.openxmlformats.org/officeDocument/2006/relationships/hyperlink" Target="https://mylearning.sumtotal.host/Core/pillarRedirect?relyingParty=LM&amp;url=core%2Factivitydetails%2FViewActivityDetails%3FActivityId%3D60%26UserMode%3D0" TargetMode="External"/><Relationship Id="rId17" Type="http://schemas.openxmlformats.org/officeDocument/2006/relationships/hyperlink" Target="https://mylearning.sumtotal.host/Core/pillarRedirect?relyingParty=LM&amp;url=core%2Factivitydetails%2FViewActivityDetails%3FActivityId%3D25674%26UserMode%3D0" TargetMode="External"/><Relationship Id="rId25" Type="http://schemas.openxmlformats.org/officeDocument/2006/relationships/hyperlink" Target="https://mylearning.sumtotal.host/Core/pillarRedirect?relyingParty=LM&amp;url=core%2Factivitydetails%2FViewActivityDetails%3FActivityId%3D28229%26UserMode%3D0" TargetMode="External"/><Relationship Id="rId33" Type="http://schemas.openxmlformats.org/officeDocument/2006/relationships/hyperlink" Target="https://mylearning.sumtotal.host/core/pillarRedirect?relyingParty=LM&amp;url=app%2Fmanagement%2FLMS_ActDetails.aspx%3FActivityId%3D280596%26UserMode%3D0" TargetMode="External"/><Relationship Id="rId38" Type="http://schemas.openxmlformats.org/officeDocument/2006/relationships/hyperlink" Target="https://mylearning.sumtotal.host/core/pillarRedirect?relyingParty=LM&amp;url=app%2Fmanagement%2FLMS_ActDetails.aspx%3FActivityId%3D636193%26UserMode%3D0" TargetMode="External"/><Relationship Id="rId20" Type="http://schemas.openxmlformats.org/officeDocument/2006/relationships/hyperlink" Target="https://mylearning.sumtotal.host/Core/pillarRedirect?relyingParty=LM&amp;url=core%2Factivitydetails%2FViewActivityDetails%3FActivityId%3D1289%26UserMode%3D0" TargetMode="External"/><Relationship Id="rId41" Type="http://schemas.openxmlformats.org/officeDocument/2006/relationships/hyperlink" Target="../../../../../../../ResponsibleBusiness/Shared%20Documents/HOTEL_RB%20Training%20Catalogue_MH%20Leader%20v2024_4.pdf?web=1" TargetMode="External"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hyperlink" Target="https://mylearning.sumtotal.host/Core/pillarRedirect?relyingParty=LM&amp;url=core%2Factivitydetails%2FViewActivityDetails%3FActivityId%3D60%26UserMode%3D0" TargetMode="External"/><Relationship Id="rId18" Type="http://schemas.openxmlformats.org/officeDocument/2006/relationships/hyperlink" Target="https://mylearning.sumtotal.host/Core/pillarRedirect?relyingParty=LM&amp;url=core%2Factivitydetails%2FViewActivityDetails%3FActivityId%3D25674%26UserMode%3D0" TargetMode="External"/><Relationship Id="rId26" Type="http://schemas.openxmlformats.org/officeDocument/2006/relationships/hyperlink" Target="https://mylearning.sumtotal.host/Core/pillarRedirect?relyingParty=LM&amp;url=core%2Factivitydetails%2FViewActivityDetails%3FActivityId%3D28229%26UserMode%3D0" TargetMode="External"/><Relationship Id="rId39" Type="http://schemas.openxmlformats.org/officeDocument/2006/relationships/hyperlink" Target="https://me2.ihgmerlin.com/documents/344888240/673023797/HOTEL_RB+Training+Catalogue_Franchised+FL+v2024_4.pdf/248e52ca-f621-2a01-0d50-872508761e53?t=1727430934591" TargetMode="External"/><Relationship Id="rId21" Type="http://schemas.openxmlformats.org/officeDocument/2006/relationships/hyperlink" Target="https://mylearning.sumtotal.host/Core/pillarRedirect?relyingParty=LM&amp;url=core%2Factivitydetails%2FViewActivityDetails%3FActivityId%3D1289%26UserMode%3D0" TargetMode="External"/><Relationship Id="rId3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81%26ClassUnderStruct%3DFalse%26CallerUrl%3D%2Flearning%2Flearner%2FHome%2FGoToPortal%3Fkey%3D0%26SearchCallerURL%3Dhttps%253A%252F%252Fmylearning.sumtotal.host%252Fcore%252FsearchRedirect%253FViewType%253DList%2526SearchText%253Dcandlewood%25252520suites%25252520brand%25252520experience%25252520training%2526startRow%253D0%26SearchCallerID%3D2" TargetMode="External"/><Relationship Id="rId7" Type="http://schemas.openxmlformats.org/officeDocument/2006/relationships/hyperlink" Target="https://mylearning.sumtotal.host/Core/pillarRedirect?relyingParty=LM&amp;url=core%2Factivitydetails%2FViewActivityDetails%3FActivityId%3D240854%26UserMode%3D0" TargetMode="External"/><Relationship Id="rId12" Type="http://schemas.openxmlformats.org/officeDocument/2006/relationships/hyperlink" Target="https://mylearning.sumtotal.host/Core/pillarRedirect?relyingParty=LM&amp;url=core%2Factivitydetails%2FViewActivityDetails%3FActivityId%3D68%26UserMode%3D0" TargetMode="External"/><Relationship Id="rId17" Type="http://schemas.openxmlformats.org/officeDocument/2006/relationships/hyperlink" Target="https://mylearning.sumtotal.host/Core/pillarRedirect?relyingParty=LM&amp;url=core%2Factivitydetails%2FViewActivityDetails%3FActivityId%3D52090%26UserMode%3D0" TargetMode="External"/><Relationship Id="rId25" Type="http://schemas.openxmlformats.org/officeDocument/2006/relationships/hyperlink" Target="https://mylearning.sumtotal.host/Core/pillarRedirect?relyingParty=LM&amp;url=core%2Factivitydetails%2FViewActivityDetails%3FActivityId%3D64%26UserMode%3D0" TargetMode="External"/><Relationship Id="rId3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80%26ClassUnderStruct%3DFalse%26CallerUrl%3D%2Flearning%2Flearner%2FHome%2FGoToPortal%3Fkey%3D0%26SearchCallerURL%3Dhttps%253A%252F%252Fmylearning.sumtotal.host%252Fcore%252FsearchRedirect%253FViewType%253DList%2526SearchText%253Dcandlewood%25252520suites%25252520brand%25252520orientation%2526startRow%253D0%26SearchCallerID%3D2" TargetMode="External"/><Relationship Id="rId38" Type="http://schemas.openxmlformats.org/officeDocument/2006/relationships/hyperlink" Target="https://me2.ihgmerlin.com/documents/344888240/673023797/HOTEL_RB+Training+Catalogue_Franchised_Leader+v2024_4.pdf/a2069f50-82f1-078b-758e-9e981e3a85db?t=1727430935374" TargetMode="External"/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TargetMode="External"/><Relationship Id="rId16" Type="http://schemas.openxmlformats.org/officeDocument/2006/relationships/hyperlink" Target="https://mylearning.sumtotal.host/Core/pillarRedirect?relyingParty=LM&amp;url=core%2Factivitydetails%2FViewActivityDetails%3FActivityId%3D58%26UserMode%3D0" TargetMode="External"/><Relationship Id="rId20" Type="http://schemas.openxmlformats.org/officeDocument/2006/relationships/hyperlink" Target="https://mylearning.sumtotal.host/Core/pillarRedirect?relyingParty=LM&amp;url=core%2Factivitydetails%2FViewActivityDetails%3FActivityId%3D6450%26UserMode%3D0" TargetMode="External"/><Relationship Id="rId29" Type="http://schemas.openxmlformats.org/officeDocument/2006/relationships/hyperlink" Target="https://ihglive.fuseuniversal.com/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TargetMode="External"/><Relationship Id="rId6" Type="http://schemas.openxmlformats.org/officeDocument/2006/relationships/hyperlink" Target="https://mylearning.sumtotal.host/Core/pillarRedirect?relyingParty=LM&amp;url=core%2Factivitydetails%2FViewActivityDetails%3FActivityId%3D240857%26UserMode%3D0" TargetMode="External"/><Relationship Id="rId11" Type="http://schemas.openxmlformats.org/officeDocument/2006/relationships/hyperlink" Target="https://mylearning.sumtotal.host/Core/pillarRedirect?relyingParty=LM&amp;url=core%2Factivitydetails%2FViewActivityDetails%3FActivityId%3D67%26UserMode%3D0" TargetMode="External"/><Relationship Id="rId24" Type="http://schemas.openxmlformats.org/officeDocument/2006/relationships/hyperlink" Target="https://mylearning.sumtotal.host/Core/pillarRedirect?relyingParty=LM&amp;url=core%2Factivitydetails%2FViewActivityDetails%3FActivityId%3D3438%26UserMode%3D0" TargetMode="External"/><Relationship Id="rId32" Type="http://schemas.openxmlformats.org/officeDocument/2006/relationships/hyperlink" Target="https://mylearning.sumtotal.host/core/pillarRedirect?relyingParty=LM&amp;url=app%2Fmanagement%2FLMS_ActDetails.aspx%3FActivityId%3D636193%26UserMode%3D0" TargetMode="External"/><Relationship Id="rId37" Type="http://schemas.openxmlformats.org/officeDocument/2006/relationships/hyperlink" Target="../../../../../../../ResponsibleBusiness/Shared%20Documents/HOTEL_RB%20Training%20Catalogue_MH%20FL%20v2024_4.pdf?web=1" TargetMode="External"/><Relationship Id="rId40" Type="http://schemas.openxmlformats.org/officeDocument/2006/relationships/hyperlink" Target="https://mylearning.sumtotal.host/core/pillarRedirect?relyingParty=LM&amp;url=app%2Fmanagement%2FLMS_ActDetails.aspx%3FActivityId%3D440%26UserMode%3D0" TargetMode="External"/><Relationship Id="rId5" Type="http://schemas.openxmlformats.org/officeDocument/2006/relationships/hyperlink" Target="https://mylearning.sumtotal.host/Core/pillarRedirect?relyingParty=LM&amp;url=core%2Factivitydetails%2FViewActivityDetails%3FActivityId%3D240856%26UserMode%3D0" TargetMode="External"/><Relationship Id="rId15" Type="http://schemas.openxmlformats.org/officeDocument/2006/relationships/hyperlink" Target="https://mylearning.sumtotal.host/Core/pillarRedirect?relyingParty=LM&amp;url=core%2Factivitydetails%2FViewActivityDetails%3FActivityId%3D59%26UserMode%3D0" TargetMode="External"/><Relationship Id="rId23" Type="http://schemas.openxmlformats.org/officeDocument/2006/relationships/hyperlink" Target="https://mylearning.sumtotal.host/core/pillarRedirect?relyingParty=LM&amp;url=app%2fmanagement%2fLMS_ActDetails.aspx%3fActivityId%3d96432%26UserMode%3d0" TargetMode="External"/><Relationship Id="rId28" Type="http://schemas.openxmlformats.org/officeDocument/2006/relationships/hyperlink" Target="https://mylearning.sumtotal.host/core/pillarRedirect?relyingParty=LM&amp;url=app%2Fmanagement%2FLMS_ActDetails.aspx%3FActivityId%3D310962%26UserMode%3D0" TargetMode="External"/><Relationship Id="rId36" Type="http://schemas.openxmlformats.org/officeDocument/2006/relationships/hyperlink" Target="../../../../../../../ResponsibleBusiness/Shared%20Documents/HOTEL_RB%20Training%20Catalogue_MH%20Leader%20v2024_4.pdf?web=1" TargetMode="External"/><Relationship Id="rId10" Type="http://schemas.openxmlformats.org/officeDocument/2006/relationships/hyperlink" Target="https://mylearning.sumtotal.host/Core/pillarRedirect?relyingParty=LM&amp;url=core%2Factivitydetails%2FViewActivityDetails%3FActivityId%3D76%26UserMode%3D0" TargetMode="External"/><Relationship Id="rId19" Type="http://schemas.openxmlformats.org/officeDocument/2006/relationships/hyperlink" Target="https://mylearning.sumtotal.host/Core/pillarRedirect?relyingParty=LM&amp;url=core%2Factivitydetails%2FViewActivityDetails%3FActivityId%3D62%26UserMode%3D0" TargetMode="External"/><Relationship Id="rId31" Type="http://schemas.openxmlformats.org/officeDocument/2006/relationships/hyperlink" Target="https://mylearning.sumtotal.host/rcore/c/dash/www/google.com/initial?relyingParty=ELIXHRUI&amp;nodeKey=dashboard_201_Brand_Training_Sustainment&amp;nodeUrl=%2Fdash%2Fwww%2Fgoogle.com%2Finitial" TargetMode="External"/><Relationship Id="rId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9" Type="http://schemas.openxmlformats.org/officeDocument/2006/relationships/hyperlink" Target="https://mylearning.sumtotal.host/Core/pillarRedirect?relyingParty=LM&amp;url=core%2Factivitydetails%2FViewActivityDetails%3FActivityId%3D1963%26UserMode%3D0" TargetMode="External"/><Relationship Id="rId14" Type="http://schemas.openxmlformats.org/officeDocument/2006/relationships/hyperlink" Target="https://mylearning.sumtotal.host/Core/pillarRedirect?relyingParty=LM&amp;url=core%2Factivitydetails%2FViewActivityDetails%3FActivityId%3D57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27" Type="http://schemas.openxmlformats.org/officeDocument/2006/relationships/hyperlink" Target="https://mylearning.sumtotal.host/core/pillarRedirect?relyingParty=LM&amp;url=app%2Fmanagement%2FLMS_ActDetails.aspx%3FActivityId%3D280596%26UserMode%3D0" TargetMode="External"/><Relationship Id="rId30" Type="http://schemas.openxmlformats.org/officeDocument/2006/relationships/hyperlink" Target="https://ihglive.fuseuniversal.com/communities/12046/contents/1288326" TargetMode="External"/><Relationship Id="rId35" Type="http://schemas.openxmlformats.org/officeDocument/2006/relationships/hyperlink" Target="https://me2.ihgmerlin.com/documents/137310422/08e55ca6-cb34-4610-856f-140e2934bb74" TargetMode="External"/><Relationship Id="rId8" Type="http://schemas.openxmlformats.org/officeDocument/2006/relationships/hyperlink" Target="https://mylearning.sumtotal.host/Core/pillarRedirect?relyingParty=LM&amp;url=core%2Factivitydetails%2FViewActivityDetails%3FActivityId%3D240855%26UserMode%3D0" TargetMode="External"/><Relationship Id="rId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TargetMode="Externa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hyperlink" Target="https://mylearning.sumtotal.host/Core/pillarRedirect?relyingParty=LM&amp;url=core%2Factivitydetails%2FViewActivityDetails%3FActivityId%3D60%26UserMode%3D0" TargetMode="External"/><Relationship Id="rId18" Type="http://schemas.openxmlformats.org/officeDocument/2006/relationships/hyperlink" Target="https://mylearning.sumtotal.host/Core/pillarRedirect?relyingParty=LM&amp;url=core%2Factivitydetails%2FViewActivityDetails%3FActivityId%3D25674%26UserMode%3D0" TargetMode="External"/><Relationship Id="rId26" Type="http://schemas.openxmlformats.org/officeDocument/2006/relationships/hyperlink" Target="https://mylearning.sumtotal.host/Core/pillarRedirect?relyingParty=LM&amp;url=core%2Factivitydetails%2FViewActivityDetails%3FActivityId%3D28229%26UserMode%3D0" TargetMode="External"/><Relationship Id="rId39" Type="http://schemas.openxmlformats.org/officeDocument/2006/relationships/hyperlink" Target="https://me2.ihgmerlin.com/documents/344888240/673023797/HOTEL_RB+Training+Catalogue_Franchised_Leader+v2024_4.pdf/a2069f50-82f1-078b-758e-9e981e3a85db?t=1727430935374" TargetMode="External"/><Relationship Id="rId21" Type="http://schemas.openxmlformats.org/officeDocument/2006/relationships/hyperlink" Target="https://mylearning.sumtotal.host/Core/pillarRedirect?relyingParty=LM&amp;url=core%2Factivitydetails%2FViewActivityDetails%3FActivityId%3D1289%26UserMode%3D0" TargetMode="External"/><Relationship Id="rId34" Type="http://schemas.openxmlformats.org/officeDocument/2006/relationships/hyperlink" Target="https://mylearning.sumtotal.host/rcore/c/dash/www/google.com/initial?relyingParty=ELIXHRUI&amp;nodeKey=dashboard_201_Brand_Training_Sustainment&amp;nodeUrl=%2Fdash%2Fwww%2Fgoogle.com%2Finitial" TargetMode="External"/><Relationship Id="rId7" Type="http://schemas.openxmlformats.org/officeDocument/2006/relationships/hyperlink" Target="https://mylearning.sumtotal.host/Core/pillarRedirect?relyingParty=LM&amp;url=core%2Factivitydetails%2FViewActivityDetails%3FActivityId%3D240854%26UserMode%3D0" TargetMode="External"/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TargetMode="External"/><Relationship Id="rId16" Type="http://schemas.openxmlformats.org/officeDocument/2006/relationships/hyperlink" Target="https://mylearning.sumtotal.host/Core/pillarRedirect?relyingParty=LM&amp;url=core%2Factivitydetails%2FViewActivityDetails%3FActivityId%3D58%26UserMode%3D0" TargetMode="External"/><Relationship Id="rId20" Type="http://schemas.openxmlformats.org/officeDocument/2006/relationships/hyperlink" Target="https://mylearning.sumtotal.host/Core/pillarRedirect?relyingParty=LM&amp;url=core%2Factivitydetails%2FViewActivityDetails%3FActivityId%3D6450%26UserMode%3D0" TargetMode="External"/><Relationship Id="rId29" Type="http://schemas.openxmlformats.org/officeDocument/2006/relationships/hyperlink" Target="https://mylearning.sumtotal.host/core/pillarRedirect?relyingParty=LM&amp;url=app%2Fmanagement%2FLMS_ActDetails.aspx%3FActivityId%3D23148%26UserMode%3D0" TargetMode="External"/><Relationship Id="rId41" Type="http://schemas.openxmlformats.org/officeDocument/2006/relationships/hyperlink" Target="https://mylearning.sumtotal.host/core/pillarRedirect?relyingParty=LM&amp;url=app%2Fmanagement%2FLMS_ActDetails.aspx%3FActivityId%3D440%26UserMode%3D0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TargetMode="External"/><Relationship Id="rId6" Type="http://schemas.openxmlformats.org/officeDocument/2006/relationships/hyperlink" Target="https://mylearning.sumtotal.host/Core/pillarRedirect?relyingParty=LM&amp;url=core%2Factivitydetails%2FViewActivityDetails%3FActivityId%3D240857%26UserMode%3D0" TargetMode="External"/><Relationship Id="rId11" Type="http://schemas.openxmlformats.org/officeDocument/2006/relationships/hyperlink" Target="https://mylearning.sumtotal.host/Core/pillarRedirect?relyingParty=LM&amp;url=core%2Factivitydetails%2FViewActivityDetails%3FActivityId%3D67%26UserMode%3D0" TargetMode="External"/><Relationship Id="rId24" Type="http://schemas.openxmlformats.org/officeDocument/2006/relationships/hyperlink" Target="https://mylearning.sumtotal.host/Core/pillarRedirect?relyingParty=LM&amp;url=core%2Factivitydetails%2FViewActivityDetails%3FActivityId%3D3438%26UserMode%3D0" TargetMode="External"/><Relationship Id="rId32" Type="http://schemas.openxmlformats.org/officeDocument/2006/relationships/hyperlink" Target="https://ihglive.fuseuniversal.com/" TargetMode="External"/><Relationship Id="rId37" Type="http://schemas.openxmlformats.org/officeDocument/2006/relationships/hyperlink" Target="../../../../../../../ResponsibleBusiness/Shared%20Documents/HOTEL_RB%20Training%20Catalogue_MH%20Leader%20v2024_4.pdf?web=1" TargetMode="External"/><Relationship Id="rId40" Type="http://schemas.openxmlformats.org/officeDocument/2006/relationships/hyperlink" Target="https://me2.ihgmerlin.com/documents/344888240/673023797/HOTEL_RB+Training+Catalogue_Franchised+FL+v2024_4.pdf/248e52ca-f621-2a01-0d50-872508761e53?t=1727430934591" TargetMode="External"/><Relationship Id="rId5" Type="http://schemas.openxmlformats.org/officeDocument/2006/relationships/hyperlink" Target="https://mylearning.sumtotal.host/Core/pillarRedirect?relyingParty=LM&amp;url=core%2Factivitydetails%2FViewActivityDetails%3FActivityId%3D240856%26UserMode%3D0" TargetMode="External"/><Relationship Id="rId15" Type="http://schemas.openxmlformats.org/officeDocument/2006/relationships/hyperlink" Target="https://mylearning.sumtotal.host/Core/pillarRedirect?relyingParty=LM&amp;url=core%2Factivitydetails%2FViewActivityDetails%3FActivityId%3D59%26UserMode%3D0" TargetMode="External"/><Relationship Id="rId23" Type="http://schemas.openxmlformats.org/officeDocument/2006/relationships/hyperlink" Target="https://mylearning.sumtotal.host/core/pillarRedirect?relyingParty=LM&amp;url=app%2fmanagement%2fLMS_ActDetails.aspx%3fActivityId%3d96432%26UserMode%3d0" TargetMode="External"/><Relationship Id="rId28" Type="http://schemas.openxmlformats.org/officeDocument/2006/relationships/hyperlink" Target="https://mylearning.sumtotal.host/Core/pillarRedirect?relyingParty=LM&amp;url=core%2Factivitydetails%2FViewActivityDetails%3FActivityId%3D23166%26UserMode%3D0" TargetMode="External"/><Relationship Id="rId36" Type="http://schemas.openxmlformats.org/officeDocument/2006/relationships/hyperlink" Target="https://me2.ihgmerlin.com/documents/137310422/08e55ca6-cb34-4610-856f-140e2934bb74" TargetMode="External"/><Relationship Id="rId10" Type="http://schemas.openxmlformats.org/officeDocument/2006/relationships/hyperlink" Target="https://mylearning.sumtotal.host/Core/pillarRedirect?relyingParty=LM&amp;url=core%2Factivitydetails%2FViewActivityDetails%3FActivityId%3D76%26UserMode%3D0" TargetMode="External"/><Relationship Id="rId19" Type="http://schemas.openxmlformats.org/officeDocument/2006/relationships/hyperlink" Target="https://mylearning.sumtotal.host/Core/pillarRedirect?relyingParty=LM&amp;url=core%2Factivitydetails%2FViewActivityDetails%3FActivityId%3D62%26UserMode%3D0" TargetMode="External"/><Relationship Id="rId31" Type="http://schemas.openxmlformats.org/officeDocument/2006/relationships/hyperlink" Target="https://mylearning.sumtotal.host/core/pillarRedirect?relyingParty=LM&amp;url=app%2Fmanagement%2FLMS_ActDetails.aspx%3FActivityId%3D310962%26UserMode%3D0" TargetMode="External"/><Relationship Id="rId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9" Type="http://schemas.openxmlformats.org/officeDocument/2006/relationships/hyperlink" Target="https://mylearning.sumtotal.host/Core/pillarRedirect?relyingParty=LM&amp;url=core%2Factivitydetails%2FViewActivityDetails%3FActivityId%3D1963%26UserMode%3D0" TargetMode="External"/><Relationship Id="rId14" Type="http://schemas.openxmlformats.org/officeDocument/2006/relationships/hyperlink" Target="https://mylearning.sumtotal.host/Core/pillarRedirect?relyingParty=LM&amp;url=core%2Factivitydetails%2FViewActivityDetails%3FActivityId%3D57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27" Type="http://schemas.openxmlformats.org/officeDocument/2006/relationships/hyperlink" Target="https://mylearning.sumtotal.host/core/pillarRedirect?relyingParty=LM&amp;url=app%2Fmanagement%2FLMS_ActDetails.aspx%3FActivityId%3D3116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280596%26UserMode%3D0" TargetMode="External"/><Relationship Id="rId35" Type="http://schemas.openxmlformats.org/officeDocument/2006/relationships/hyperlink" Target="https://mylearning.sumtotal.host/core/pillarRedirect?relyingParty=LM&amp;url=app%2Fmanagement%2FLMS_ActDetails.aspx%3FActivityId%3D636193%26UserMode%3D0" TargetMode="External"/><Relationship Id="rId8" Type="http://schemas.openxmlformats.org/officeDocument/2006/relationships/hyperlink" Target="https://mylearning.sumtotal.host/Core/pillarRedirect?relyingParty=LM&amp;url=core%2Factivitydetails%2FViewActivityDetails%3FActivityId%3D240855%26UserMode%3D0" TargetMode="External"/><Relationship Id="rId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TargetMode="External"/><Relationship Id="rId12" Type="http://schemas.openxmlformats.org/officeDocument/2006/relationships/hyperlink" Target="https://mylearning.sumtotal.host/Core/pillarRedirect?relyingParty=LM&amp;url=core%2Factivitydetails%2FViewActivityDetails%3FActivityId%3D68%26UserMode%3D0" TargetMode="External"/><Relationship Id="rId17" Type="http://schemas.openxmlformats.org/officeDocument/2006/relationships/hyperlink" Target="https://mylearning.sumtotal.host/Core/pillarRedirect?relyingParty=LM&amp;url=core%2Factivitydetails%2FViewActivityDetails%3FActivityId%3D52090%26UserMode%3D0" TargetMode="External"/><Relationship Id="rId25" Type="http://schemas.openxmlformats.org/officeDocument/2006/relationships/hyperlink" Target="https://mylearning.sumtotal.host/Core/pillarRedirect?relyingParty=LM&amp;url=core%2Factivitydetails%2FViewActivityDetails%3FActivityId%3D64%26UserMode%3D0" TargetMode="External"/><Relationship Id="rId33" Type="http://schemas.openxmlformats.org/officeDocument/2006/relationships/hyperlink" Target="https://ihglive.fuseuniversal.com/communities/12046/contents/1288326" TargetMode="External"/><Relationship Id="rId38" Type="http://schemas.openxmlformats.org/officeDocument/2006/relationships/hyperlink" Target="../../../../../../../ResponsibleBusiness/Shared%20Documents/HOTEL_RB%20Training%20Catalogue_MH%20FL%20v2024_4.pdf?web=1" TargetMode="External"/></Relationships>
</file>

<file path=xl/worksheets/_rels/sheet15.xml.rels><?xml version="1.0" encoding="UTF-8" standalone="yes"?>
<Relationships xmlns="http://schemas.openxmlformats.org/package/2006/relationships"><Relationship Id="rId26" Type="http://schemas.openxmlformats.org/officeDocument/2006/relationships/hyperlink" Target="https://ihgfbamericas.com/wp-login.php" TargetMode="External"/><Relationship Id="rId21" Type="http://schemas.openxmlformats.org/officeDocument/2006/relationships/hyperlink" Target="https://mylearning.sumtotal.host/core/pillarRedirect?relyingParty=LM&amp;url=app%2Fmanagement%2FLMS_ActDetails.aspx%3FActivityId%3D240857%26UserMode%3D0" TargetMode="External"/><Relationship Id="rId42" Type="http://schemas.openxmlformats.org/officeDocument/2006/relationships/hyperlink" Target="https://mylearning.sumtotal.host/core/pillarRedirect?relyingParty=LM&amp;url=app%2Fmanagement%2FLMS_ActDetails.aspx%3FActivityId%3D52616%26UserMode%3D0" TargetMode="External"/><Relationship Id="rId47" Type="http://schemas.openxmlformats.org/officeDocument/2006/relationships/hyperlink" Target="https://mylearning.sumtotal.host/core/pillarRedirect?relyingParty=LM&amp;url=app%2Fmanagement%2FLMS_ActDetails.aspx%3FActivityId%3D5282%26UserMode%3D0" TargetMode="External"/><Relationship Id="rId63" Type="http://schemas.openxmlformats.org/officeDocument/2006/relationships/hyperlink" Target="https://mylearning.sumtotal.host/Core/pillarRedirect?relyingParty=LM&amp;url=core%2Factivitydetails%2FViewActivityDetails%3FActivityId%3D59%26UserMode%3D0" TargetMode="External"/><Relationship Id="rId68" Type="http://schemas.openxmlformats.org/officeDocument/2006/relationships/hyperlink" Target="https://mylearning.sumtotal.host/Core/pillarRedirect?relyingParty=LM&amp;url=core%2Factivitydetails%2FViewActivityDetails%3FActivityId%3D3438%26UserMode%3D0" TargetMode="External"/><Relationship Id="rId8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03%26ClassUnderStruct%3DFalse%26CallerUrl%3D%2Flearning%2Flearner%2FHome%2FGoToPortal%3Fkey%3D0%26SearchCallerURL%3Dhttps%253A%252F%252Fmylearning.sumtotal.host%252Fcore%252FsearchRedirect%253FViewType%253DList%2526SearchText%253Dintercontinental%2526startRow%253D0%26SearchCallerID%3D2" TargetMode="External"/><Relationship Id="rId89" Type="http://schemas.openxmlformats.org/officeDocument/2006/relationships/hyperlink" Target="https://mylearning.sumtotal.host/core/pillarRedirect?relyingParty=LM&amp;url=app%2Fmanagement%2FLMS_ActDetails.aspx%3FActivityId%3D10772%26UserMode%3D0" TargetMode="External"/><Relationship Id="rId16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284%26ClassUnderStruct%3DFalse%26CallerUrl%3D%2Flearning%2Flearner%2FHome%2FGoToPortal%3Fkey%3D0%26SearchCallerURL%3Dhttps%253A%252F%252Fmylearning.sumtotal.host%252Fcore%252FsearchRedirect%253FViewType%253DList%2526SearchText%253Ddirector%25252520of%25252520sales%25252520orientation%2526startRow%253D0%26SearchCallerID%3D2" TargetMode="External"/><Relationship Id="rId1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6447%26ClassUnderStruct%3DFalse%26CallerUrl%3D%2Flearning%2Flearner%2FHome%2FGoToPortal%3Fkey%3D0%26SearchCallerURL%3Dhttps%253A%252F%252Fmylearning.sumtotal.host%252Fcore%252FsearchRedirect%253FViewType%253DList%2526SearchText%253Dintroduction%25252520to%25252520information%25252520security%2526startRow%253D0%26SearchCallerID%3D2" TargetMode="External"/><Relationship Id="rId32" Type="http://schemas.openxmlformats.org/officeDocument/2006/relationships/hyperlink" Target="https://mylearning.sumtotal.host/core/pillarRedirect?relyingParty=LM&amp;url=app%2Fmanagement%2FLMS_ActDetails.aspx%3FActivityId%3D240854%26UserMode%3D0" TargetMode="External"/><Relationship Id="rId37" Type="http://schemas.openxmlformats.org/officeDocument/2006/relationships/hyperlink" Target="https://mylearning.sumtotal.host/Core/pillarRedirect?relyingParty=LM&amp;url=core%2Factivitydetails%2FViewActivityDetails%3FActivityId%3D40%26UserMode%3D0" TargetMode="External"/><Relationship Id="rId53" Type="http://schemas.openxmlformats.org/officeDocument/2006/relationships/hyperlink" Target="https://myfederate.ihg.com/idp/startSSO.ping?PartnerSpId=https%3A%2F%2Fmyfederate.ihg.com&amp;TargetResource=HTTPS%3A%2F%2Fme2.ihgmerlin.com%2Fweb%2Finit-winning-in-sleep%2Farticle%3Fid%3D98989978" TargetMode="External"/><Relationship Id="rId58" Type="http://schemas.openxmlformats.org/officeDocument/2006/relationships/hyperlink" Target="https://mylearning.sumtotal.host/Core/pillarRedirect?relyingParty=LM&amp;url=core%2Factivitydetails%2FViewActivityDetails%3FActivityId%3D76%26UserMode%3D0" TargetMode="External"/><Relationship Id="rId74" Type="http://schemas.openxmlformats.org/officeDocument/2006/relationships/hyperlink" Target="https://mylearning.sumtotal.host/Core/pillarRedirect?relyingParty=LM&amp;url=core%2Factivitydetails%2FViewActivityDetails%3FActivityId%3D29120%26UserMode%3D0" TargetMode="External"/><Relationship Id="rId79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3735%26ClassUnderStruct%3DFalse%26CallerUrl%3D%2Flearning%2Flearner%2FHome%2FGoToPortal%3Fkey%3D0%26SearchCallerURL%3Dhttps%253A%252F%252Fmylearning.sumtotal.host%252Fcore%252FsearchRedirect%253FViewType%253DList%2526SearchText%253Dvoco%25252520orientation%2526startRow%253D0%26SearchCallerID%3D2" TargetMode="External"/><Relationship Id="rId5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823%26ClassUnderStruct%3DFalse%26CallerUrl%3D%2Flearning%2Flearner%2FHome%2FGoToPortal%3Fkey%3D0%26SearchCallerURL%3Dhttps%253A%252F%252Fmylearning.sumtotal.host%252Fcore%252FsearchRedirect%253FViewType%253DList%2526SearchText%253Dvoice%2526startRow%253D0%26SearchCallerID%3D2" TargetMode="External"/><Relationship Id="rId90" Type="http://schemas.openxmlformats.org/officeDocument/2006/relationships/hyperlink" Target="https://mylearning.sumtotal.host/core/pillarRedirect?relyingParty=LM&amp;url=app%2Fmanagement%2FLMS_ActDetails.aspx%3FActivityId%3D6627%26UserMode%3D0" TargetMode="External"/><Relationship Id="rId95" Type="http://schemas.openxmlformats.org/officeDocument/2006/relationships/hyperlink" Target="https://mylearning.sumtotal.host/core/pillarRedirect?relyingParty=LM&amp;url=app%2Fmanagement%2FLMS_ActDetails.aspx%3FActivityId%3D440%26UserMode%3D0" TargetMode="External"/><Relationship Id="rId22" Type="http://schemas.openxmlformats.org/officeDocument/2006/relationships/hyperlink" Target="https://urldefense.com/v3/__https:/mylearning.sumtotal.host/core/pillarRedirect?relyingParty=LM&amp;url=app*2Fmanagement*2FLMS_ActDetails.aspx*3FActivityId*3D240855*26UserMode*3D0__;JSUlJSUl!!EOxaMA!Qr9acoX2_EV1mT0wmAxiOdTUWOHvMXYUCiw2niLR1HXQbhVDbdsZpso8geQqe50t9pBdegO46Mz59j2MtJfVmA$" TargetMode="External"/><Relationship Id="rId27" Type="http://schemas.openxmlformats.org/officeDocument/2006/relationships/hyperlink" Target="https://mylearning.sumtotal.host/rcore/c/pillarRedirect?relyingParty=LM&amp;url=app%2fmanagement%2fLMS_ActDetails.aspx%3fActivityId%3d25674%26UserMode%3d0" TargetMode="External"/><Relationship Id="rId43" Type="http://schemas.openxmlformats.org/officeDocument/2006/relationships/hyperlink" Target="https://mylearning.sumtotal.host/core/pillarRedirect?relyingParty=LM&amp;url=app%2Fmanagement%2FLMS_ActDetails.aspx%3FActivityId%3D3207%26UserMode%3D0" TargetMode="External"/><Relationship Id="rId48" Type="http://schemas.openxmlformats.org/officeDocument/2006/relationships/hyperlink" Target="https://ihglive.fuseuniversal.com/communities/12046/contents/1288326" TargetMode="External"/><Relationship Id="rId64" Type="http://schemas.openxmlformats.org/officeDocument/2006/relationships/hyperlink" Target="https://mylearning.sumtotal.host/Core/pillarRedirect?relyingParty=LM&amp;url=core%2Factivitydetails%2FViewActivityDetails%3FActivityId%3D58%26UserMode%3D0" TargetMode="External"/><Relationship Id="rId69" Type="http://schemas.openxmlformats.org/officeDocument/2006/relationships/hyperlink" Target="https://mylearning.sumtotal.host/Core/pillarRedirect?relyingParty=LM&amp;url=core%2Factivitydetails%2FViewActivityDetails%3FActivityId%3D64%26UserMode%3D0" TargetMode="External"/><Relationship Id="rId8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699%26ClassUnderStruct%3DFalse%26CallerUrl%3D%2Flearning%2Flearner%2FHome%2FGoToPortal%3Fkey%3D0%26SearchCallerURL%3Dhttps%253A%252F%252Fmylearning.sumtotal.host%252Fcore%252FsearchRedirect%253FViewType%253DList%2526SearchText%253Dcrowne%25252520plaza%25252520brand%25252520orientation%2526startRow%253D0%26SearchCallerID%3D2" TargetMode="External"/><Relationship Id="rId5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12%26ClassUnderStruct%3DFalse%26CallerUrl%3D%2Flearning%2Flearner%2FHome%2FGoToPortal%3Fkey%3D0%26SearchCallerURL%3Dhttps%253A%252F%252Fmylearning.sumtotal.host%252Fcore%252FsearchRedirect%253FViewType%253DList%2526SearchText%253Dthe%25252520express%25252520start%25252520breakfast%25252520bar%25252520experience%25252520-%25252520us%25252520%25252526%25252520canada%2526startRow%253D0%26SearchCallerID%3D2" TargetMode="External"/><Relationship Id="rId72" Type="http://schemas.openxmlformats.org/officeDocument/2006/relationships/hyperlink" Target="https://ihgfbglobal.com/regional-home-emeaa/" TargetMode="External"/><Relationship Id="rId80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6426%26ClassUnderStruct%3DFalse%26CallerUrl%3D%2Flearning%2Flearner%2FHome%2FGoToPortal%3Fkey%3D0%26SearchCallerURL%3Dhttps%253A%252F%252Fmylearning.sumtotal.host%252Fcore%252FsearchRedirect%253FViewType%253DList%2526SearchText%253Dvoco%25252520experience%2526startRow%253D0%26SearchCallerID%3D2" TargetMode="External"/><Relationship Id="rId85" Type="http://schemas.openxmlformats.org/officeDocument/2006/relationships/hyperlink" Target="https://mylearning.sumtotal.host/core/pillarRedirect?relyingParty=LM&amp;url=app%2Fmanagement%2FLMS_ActDetails.aspx%3FActivityId%3D240858%26UserMode%3D0" TargetMode="External"/><Relationship Id="rId93" Type="http://schemas.openxmlformats.org/officeDocument/2006/relationships/hyperlink" Target="https://me2.ihgmerlin.com/documents/344888240/673023797/HOTEL_RB+Training+Catalogue_Franchised_Leader+v2024_4.pdf/a2069f50-82f1-078b-758e-9e981e3a85db?t=1727430935374" TargetMode="External"/><Relationship Id="rId3" Type="http://schemas.openxmlformats.org/officeDocument/2006/relationships/hyperlink" Target="https://mylearning.sumtotal.host/core/pillarRedirect?relyingParty=LM&amp;url=app%2Fmanagement%2FLMS_ActDetails.aspx%3FActivityId%3D10767%26UserMode%3D0" TargetMode="External"/><Relationship Id="rId12" Type="http://schemas.openxmlformats.org/officeDocument/2006/relationships/hyperlink" Target="https://mylearning.sumtotal.host/Core/pillarRedirect?relyingParty=LM&amp;url=core%2Factivitydetails%2FViewActivityDetails%3FActivityId%3D53229%26UserMode%3D0" TargetMode="External"/><Relationship Id="rId17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25" Type="http://schemas.openxmlformats.org/officeDocument/2006/relationships/hyperlink" Target="https://myfederate.ihg.com/idp/startSSO.ping?PartnerSpId=IhgFederateSPMFA&amp;vsid=myfederate-mfa-idp&amp;smacrval=AuthN_MFA&amp;TargetResource=HTTPS%3A%2F%2Fme2.ihgmerlin.com%2Fweb%2Fapplications%2Farticle%3Fid%3D55492023" TargetMode="External"/><Relationship Id="rId33" Type="http://schemas.openxmlformats.org/officeDocument/2006/relationships/hyperlink" Target="https://mylearning.sumtotal.host/Core/pillarRedirect?relyingParty=LM&amp;url=core%2Factivitydetails%2FViewActivityDetails%3FActivityId%3D310951%26UserMode%3D0" TargetMode="External"/><Relationship Id="rId38" Type="http://schemas.openxmlformats.org/officeDocument/2006/relationships/hyperlink" Target="https://mylearning.sumtotal.host/Core/pillarRedirect?relyingParty=LM&amp;url=core%2Factivitydetails%2FViewActivityDetails%3FActivityId%3D67%26UserMode%3D0" TargetMode="External"/><Relationship Id="rId46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68%26ClassUnderStruct%3DFalse%26CallerUrl%3D%2Flearning%2Flearner%2FHome%2FGoToPortal%3Fkey%3D0%26SearchCallerURL%3Dhttps%253A%252F%252Fmylearning.sumtotal.host%252Fcore%252FsearchRedirect%253FViewType%253DList%2526SearchText%253Dcrowne%25252520plaza%25252520power%2526startRow%253D0%26SearchCallerID%3D2" TargetMode="External"/><Relationship Id="rId59" Type="http://schemas.openxmlformats.org/officeDocument/2006/relationships/hyperlink" Target="https://mylearning.sumtotal.host/rcore/c/dash/www/google.com/initial?relyingParty=ELIXHRUI&amp;nodeKey=dashboard_201_Brand_Training_Sustainment&amp;nodeUrl=%2Fdash%2Fwww%2Fgoogle.com%2Finitial" TargetMode="External"/><Relationship Id="rId67" Type="http://schemas.openxmlformats.org/officeDocument/2006/relationships/hyperlink" Target="https://mylearning.sumtotal.host/Core/pillarRedirect?relyingParty=LM&amp;url=core%2Factivitydetails%2FViewActivityDetails%3FActivityId%3D1289%26UserMode%3D0" TargetMode="External"/><Relationship Id="rId20" Type="http://schemas.openxmlformats.org/officeDocument/2006/relationships/hyperlink" Target="https://mylearning.sumtotal.host/core/pillarRedirect?relyingParty=LM&amp;url=app%2Fmanagement%2FLMS_ActDetails.aspx%3FActivityId%3D240856%26UserMode%3D0" TargetMode="External"/><Relationship Id="rId41" Type="http://schemas.openxmlformats.org/officeDocument/2006/relationships/hyperlink" Target="https://mylearning.sumtotal.host/core/pillarRedirect?relyingParty=LM&amp;url=app%2Fmanagement%2FLMS_ActDetails.aspx%3FActivityId%3D310962%26UserMode%3D0" TargetMode="External"/><Relationship Id="rId54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62" Type="http://schemas.openxmlformats.org/officeDocument/2006/relationships/hyperlink" Target="https://mylearning.sumtotal.host/Core/pillarRedirect?relyingParty=LM&amp;url=core%2Factivitydetails%2FViewActivityDetails%3FActivityId%3D57%26UserMode%3D0" TargetMode="External"/><Relationship Id="rId70" Type="http://schemas.openxmlformats.org/officeDocument/2006/relationships/hyperlink" Target="https://mylearning.sumtotal.host/Core/pillarRedirect?relyingParty=LM&amp;url=core%2Factivitydetails%2FViewActivityDetails%3FActivityId%3D28229%26UserMode%3D0" TargetMode="External"/><Relationship Id="rId75" Type="http://schemas.openxmlformats.org/officeDocument/2006/relationships/hyperlink" Target="https://mylearning.sumtotal.host/Core/pillarRedirect?relyingParty=LM&amp;url=core%2Factivitydetails%2FViewActivityDetails%3FActivityId%3D51705%26UserMode%3D0" TargetMode="External"/><Relationship Id="rId8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3590%26ClassUnderStruct%3DFalse%26CallerUrl%3D%2Flearning%2Flearner%2FHome%2FGoToPortal%3Fkey%3D0%26SearchCallerURL%3Dhttps%253A%252F%252Fmylearning.sumtotal.host%252Fcore%252FsearchRedirect%253FViewType%253DList%2526SearchText%253Dluxury%25252520fundamentals%2526startRow%253D0%26SearchCallerID%3D2" TargetMode="External"/><Relationship Id="rId88" Type="http://schemas.openxmlformats.org/officeDocument/2006/relationships/hyperlink" Target="https://me2.ihgmerlin.com/documents/137310422/08e55ca6-cb34-4610-856f-140e2934bb74" TargetMode="External"/><Relationship Id="rId91" Type="http://schemas.openxmlformats.org/officeDocument/2006/relationships/hyperlink" Target="../../../../../../../ResponsibleBusiness/Shared%20Documents/HOTEL_RB%20Training%20Catalogue_MH%20Leader%20v2024_4.pdf?web=1" TargetMode="External"/><Relationship Id="rId96" Type="http://schemas.openxmlformats.org/officeDocument/2006/relationships/hyperlink" Target="https://mylearning.sumtotal.host/core/pillarRedirect?relyingParty=LM&amp;url=app%2Fmanagement%2FLMS_ActDetails.aspx%3FActivityId%3D249635%26UserMode%3D0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70%26ClassUnderStruct%3DFalse%26CallerUrl%3D%2Flearning%2Flearner%2FHome%2FGoToPortal%3Fkey%3D0%26SearchCallerURL%3Dhttps%253A%252F%252Fmylearning.sumtotal.host%252Fcore%252FsearchRedirect%253FViewType%253DList%2526SearchText%253Dwelcome%25252520to%25252520ihg%2526startRow%253D0%26SearchCallerID%3D2" TargetMode="External"/><Relationship Id="rId6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TargetMode="External"/><Relationship Id="rId15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6785%26ClassUnderStruct%3DFalse%26CallerUrl%3D%2Flearning%2Flearner%2FHome%2FGoToPortal%3Fkey%3D0%26SearchCallerURL%3Dhttps%253A%252F%252Fmylearning.sumtotal.host%252Fcore%252FsearchRedirect%253FViewType%253DList%2526SearchText%253Dmaintenance%25252520essentials%2526startRow%253D0%26SearchCallerID%3D2" TargetMode="External"/><Relationship Id="rId23" Type="http://schemas.openxmlformats.org/officeDocument/2006/relationships/hyperlink" Target="https://mylearning.sumtotal.host/rcore/c/pillarRedirect?relyingParty=LM&amp;url=app%2fmanagement%2fLMS_ActDetails.aspx%3fActivityId%3d5315%26UserMode%3d0" TargetMode="External"/><Relationship Id="rId28" Type="http://schemas.openxmlformats.org/officeDocument/2006/relationships/hyperlink" Target="https://me2.ihgmerlin.com/web/brand-standards/hotel/search-standards" TargetMode="External"/><Relationship Id="rId36" Type="http://schemas.openxmlformats.org/officeDocument/2006/relationships/hyperlink" Target="https://mylearning.sumtotal.host/Core/pillarRedirect?relyingParty=LM&amp;url=core%2Factivitydetails%2FViewActivityDetails%3FActivityId%3D15158%26UserMode%3D0" TargetMode="External"/><Relationship Id="rId49" Type="http://schemas.openxmlformats.org/officeDocument/2006/relationships/hyperlink" Target="https://ihglive.fuseuniversal.com/" TargetMode="External"/><Relationship Id="rId57" Type="http://schemas.openxmlformats.org/officeDocument/2006/relationships/hyperlink" Target="https://mylearning.sumtotal.host/Core/pillarRedirect?relyingParty=LM&amp;url=core%2Factivitydetails%2FViewActivityDetails%3FActivityId%3D1963%26UserMode%3D0" TargetMode="External"/><Relationship Id="rId10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TargetMode="External"/><Relationship Id="rId31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44" Type="http://schemas.openxmlformats.org/officeDocument/2006/relationships/hyperlink" Target="https://mylearning.sumtotal.host/core/pillarRedirect?relyingParty=LM&amp;url=app%2Fmanagement%2FLMS_ActDetails.aspx%3FActivityId%3D28052%26UserMode%3D0" TargetMode="External"/><Relationship Id="rId5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60" Type="http://schemas.openxmlformats.org/officeDocument/2006/relationships/hyperlink" Target="https://mylearning.sumtotal.host/Core/pillarRedirect?relyingParty=LM&amp;url=core%2Factivitydetails%2FViewActivityDetails%3FActivityId%3D68%26UserMode%3D0" TargetMode="External"/><Relationship Id="rId65" Type="http://schemas.openxmlformats.org/officeDocument/2006/relationships/hyperlink" Target="https://mylearning.sumtotal.host/Core/pillarRedirect?relyingParty=LM&amp;url=core%2Factivitydetails%2FViewActivityDetails%3FActivityId%3D52090%26UserMode%3D0" TargetMode="External"/><Relationship Id="rId73" Type="http://schemas.openxmlformats.org/officeDocument/2006/relationships/hyperlink" Target="https://mylearning.sumtotal.host/Core/pillarRedirect?relyingParty=LM&amp;url=core%2Factivitydetails%2FViewActivityDetails%3FActivityId%3D29123%26UserMode%3D0" TargetMode="External"/><Relationship Id="rId78" Type="http://schemas.openxmlformats.org/officeDocument/2006/relationships/hyperlink" Target="https://mylearning.sumtotal.host/Core/pillarRedirect?relyingParty=LM&amp;url=core%2Factivitydetails%2FViewActivityDetails%3FActivityId%3D29121%26UserMode%3D0" TargetMode="External"/><Relationship Id="rId8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4835%26ClassUnderStruct%3DFalse%26CallerUrl%3D%2Flearning%2Flearner%2FHome%2FGoToPortal%3Fkey%3D0%26SearchCallerURL%3Dhttps%253A%252F%252Fmylearning.sumtotal.host%252Fcore%252FsearchRedirect%253FViewType%253DList%2526SearchText%253Dhotel%25252520indigo%25252520brand%25252520orientation%2526startRow%253D0%26SearchCallerID%3D2" TargetMode="External"/><Relationship Id="rId86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80%26ClassUnderStruct%3DFalse%26CallerUrl%3D%2Flearning%2Flearner%2FHome%2FGoToPortal%3Fkey%3D0%26SearchCallerURL%3Dhttps%253A%252F%252Fmylearning.sumtotal.host%252Fcore%252FsearchRedirect%253FViewType%253DList%2526SearchText%253Dcandlewood%25252520suites%25252520brand%25252520orientation%2526startRow%253D0%26SearchCallerID%3D2" TargetMode="External"/><Relationship Id="rId94" Type="http://schemas.openxmlformats.org/officeDocument/2006/relationships/hyperlink" Target="https://me2.ihgmerlin.com/documents/344888240/673023797/HOTEL_RB+Training+Catalogue_Franchised+FL+v2024_4.pdf/248e52ca-f621-2a01-0d50-872508761e53?t=1727430934591" TargetMode="External"/><Relationship Id="rId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814%26ClassUnderStruct%3DFalse%26CallerUrl%3D%2Flearning%2Flearner%2FHome%2FGoToPortal%3Fkey%3D0%26SearchCallerURL%3Dhttps%253A%252F%252Fmylearning.sumtotal.host%252Fcore%252FsearchRedirect%253FViewType%253DList%2526SearchText%253Dcrowne%25252520plaza%25252520ignite%2526startRow%253D0%26SearchCallerID%3D2" TargetMode="External"/><Relationship Id="rId9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69%26ClassUnderStruct%3DFalse%26CallerUrl%3D%2Flearning%2Flearner%2FHome%2FGoToPortal%3Fkey%3D0%26SearchCallerURL%3Dhttps%253A%252F%252Fmylearning.sumtotal.host%252Fcore%252FsearchRedirect%253FViewType%253DList%2526SearchText%253Dcrowne%25252520plaza%25252520dare%25252520to%25252520connect%25252520brand%25252520experience%25252520training_amer%2526startRow%253D0%26SearchCallerID%3D2" TargetMode="External"/><Relationship Id="rId13" Type="http://schemas.openxmlformats.org/officeDocument/2006/relationships/hyperlink" Target="https://mylearning.sumtotal.host/core/pillarRedirect?relyingParty=LM&amp;url=app%2Fmanagement%2FLMS_ActDetails.aspx%3FActivityId%3D52332%26UserMode%3D1" TargetMode="External"/><Relationship Id="rId18" Type="http://schemas.openxmlformats.org/officeDocument/2006/relationships/hyperlink" Target="https://me2.ihgmerlin.com/web/brand-standards/hotel/search-standards" TargetMode="External"/><Relationship Id="rId39" Type="http://schemas.openxmlformats.org/officeDocument/2006/relationships/hyperlink" Target="https://mylearning.sumtotal.host/core/pillarRedirect?relyingParty=LM&amp;url=app%2Fmanagement%2FLMS_ActDetails.aspx%3FActivityId%3D612746%26UserMode%3D0" TargetMode="External"/><Relationship Id="rId34" Type="http://schemas.openxmlformats.org/officeDocument/2006/relationships/hyperlink" Target="https://mylearning.sumtotal.host/Core/pillarRedirect?relyingParty=LM&amp;url=core%2Factivitydetails%2FViewActivityDetails%3FActivityId%3D62%26UserMode%3D0" TargetMode="External"/><Relationship Id="rId50" Type="http://schemas.openxmlformats.org/officeDocument/2006/relationships/hyperlink" Target="https://mylearning.sumtotal.host/core/pillarRedirect?relyingParty=LM&amp;url=app%2Fmanagement%2FLMS_ActDetails.aspx%3FActivityId%3D636193%26UserMode%3D0" TargetMode="External"/><Relationship Id="rId55" Type="http://schemas.openxmlformats.org/officeDocument/2006/relationships/hyperlink" Target="https://mylearning.sumtotal.host/core/pillarRedirect?relyingParty=LM&amp;url=app%2Fmanagement%2FLMS_ActDetails.aspx%3FActivityId%3D366737%26UserMode%3D0" TargetMode="External"/><Relationship Id="rId76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78%26ClassUnderStruct%3DFalse%26CallerUrl%3D%2Flearning%2Flearner%2FHome%2FGoToPortal%3Fkey%3D0%26SearchCallerURL%3Dhttps%253A%252F%252Fmylearning.sumtotal.host%252Fcore%252FsearchRedirect%253FViewType%253DList%2526SearchText%253Dbrand%25252520orientation%2526startRow%253D0%26SearchCallerID%3D2" TargetMode="External"/><Relationship Id="rId7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TargetMode="External"/><Relationship Id="rId71" Type="http://schemas.openxmlformats.org/officeDocument/2006/relationships/hyperlink" Target="https://mylearning.sumtotal.host/core/pillarRedirect?relyingParty=LM&amp;url=app%2fmanagement%2fLMS_ActDetails.aspx%3fActivityId%3d96432%26UserMode%3d0" TargetMode="External"/><Relationship Id="rId92" Type="http://schemas.openxmlformats.org/officeDocument/2006/relationships/hyperlink" Target="../../../../../../../ResponsibleBusiness/Shared%20Documents/HOTEL_RB%20Training%20Catalogue_MH%20FL%20v2024_4.pdf?web=1" TargetMode="External"/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41%26ClassUnderStruct%3DFalse%26CallerUrl%3D%2Flearning%2Flearner%2FHome%2FGoToPortal%3Fkey%3D0%26SearchCallerURL%3Dhttps%253A%252F%252Fmylearning.sumtotal.host%252Fcore%252FsearchRedirect%253FViewType%253DList%2526SearchText%253Ddigital%25252520check-in%2526startRow%253D0%26SearchCallerID%3D2" TargetMode="External"/><Relationship Id="rId29" Type="http://schemas.openxmlformats.org/officeDocument/2006/relationships/hyperlink" Target="https://mylearning.sumtotal.host/Core/pillarRedirect?relyingParty=LM&amp;url=core%2Factivitydetails%2FViewActivityDetails%3FActivityId%3D23166%26UserMode%3D0" TargetMode="External"/><Relationship Id="rId24" Type="http://schemas.openxmlformats.org/officeDocument/2006/relationships/hyperlink" Target="https://mylearning.sumtotal.host/rcore/c/pillarRedirect?relyingParty=LM&amp;url=app%2fmanagement%2fLMS_ActDetails.aspx%3fActivityId%3d5359%26UserMode%3d0" TargetMode="External"/><Relationship Id="rId40" Type="http://schemas.openxmlformats.org/officeDocument/2006/relationships/hyperlink" Target="https://mylearning.sumtotal.host/core/pillarRedirect?relyingParty=LM&amp;url=app%2Fmanagement%2FLMS_ActDetails.aspx%3FActivityId%3D280596%26UserMode%3D0" TargetMode="External"/><Relationship Id="rId45" Type="http://schemas.openxmlformats.org/officeDocument/2006/relationships/hyperlink" Target="https://mylearning.sumtotal.host/core/pillarRedirect?relyingParty=LM&amp;url=app%2Fmanagement%2FLMS_ActDetails.aspx%3FActivityId%3D5385%26UserMode%3D0" TargetMode="External"/><Relationship Id="rId66" Type="http://schemas.openxmlformats.org/officeDocument/2006/relationships/hyperlink" Target="https://mylearning.sumtotal.host/Core/pillarRedirect?relyingParty=LM&amp;url=core%2Factivitydetails%2FViewActivityDetails%3FActivityId%3D6450%26UserMode%3D0" TargetMode="External"/><Relationship Id="rId87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81%26ClassUnderStruct%3DFalse%26CallerUrl%3D%2Flearning%2Flearner%2FHome%2FGoToPortal%3Fkey%3D0%26SearchCallerURL%3Dhttps%253A%252F%252Fmylearning.sumtotal.host%252Fcore%252FsearchRedirect%253FViewType%253DList%2526SearchText%253Dcandlewood%25252520suites%25252520brand%25252520experience%25252520training%2526startRow%253D0%26SearchCallerID%3D2" TargetMode="External"/><Relationship Id="rId61" Type="http://schemas.openxmlformats.org/officeDocument/2006/relationships/hyperlink" Target="https://mylearning.sumtotal.host/Core/pillarRedirect?relyingParty=LM&amp;url=core%2Factivitydetails%2FViewActivityDetails%3FActivityId%3D60%26UserMode%3D0" TargetMode="External"/><Relationship Id="rId8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4870%26ClassUnderStruct%3DFalse%26CallerUrl%3D%2Flearning%2Flearner%2FHome%2FGoToPortal%3Fkey%3D0%26SearchCallerURL%3Dhttps%253A%252F%252Fmylearning.sumtotal.host%252Fcore%252FsearchRedirect%253FViewType%253DList%2526SearchText%253Dbrand%25252520experience%2526startRow%253D0%26SearchCallerID%3D2" TargetMode="External"/><Relationship Id="rId19" Type="http://schemas.openxmlformats.org/officeDocument/2006/relationships/hyperlink" Target="https://me2.ihgmerlin.com/web/brand-standards/hotel/search-standards" TargetMode="External"/><Relationship Id="rId14" Type="http://schemas.openxmlformats.org/officeDocument/2006/relationships/hyperlink" Target="https://mylearning.sumtotal.host/core/pillarRedirect?relyingParty=LM&amp;url=app%2Fmanagement%2FLMS_ActDetails.aspx%3FActivityId%3D5294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23148%26UserMode%3D0" TargetMode="External"/><Relationship Id="rId35" Type="http://schemas.openxmlformats.org/officeDocument/2006/relationships/hyperlink" Target="https://mylearning.sumtotal.host/Core/pillarRedirect?relyingParty=LM&amp;url=core%2Factivitydetails%2FViewActivityDetails%3FActivityId%3D55%26UserMode%3D0" TargetMode="External"/><Relationship Id="rId56" Type="http://schemas.openxmlformats.org/officeDocument/2006/relationships/hyperlink" Target="https://mylearning.sumtotal.host/Core/pillarRedirect?relyingParty=LM&amp;url=core%2Factivitydetails%2FViewActivityDetails%3FActivityId%3D240857%26UserMode%3D0" TargetMode="External"/><Relationship Id="rId77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79%26ClassUnderStruct%3DFalse%26CallerUrl%3D%2Flearning%2Flearner%2FHome%2FGoToPortal%3Fkey%3D0%26SearchCallerURL%3Dhttps%253A%252F%252Fmylearning.sumtotal.host%252Fcore%252FsearchRedirect%253FViewType%253DList%2526SearchText%253Dbrand%25252520experience%2526startRow%253D0%26SearchCallerID%3D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BD275-B1E9-4F29-85D3-8D1CA680F03D}">
  <sheetPr codeName="Sheet1"/>
  <dimension ref="A2:D17"/>
  <sheetViews>
    <sheetView workbookViewId="0">
      <selection activeCell="B22" sqref="B22"/>
    </sheetView>
  </sheetViews>
  <sheetFormatPr defaultRowHeight="15" x14ac:dyDescent="0.25"/>
  <cols>
    <col min="1" max="1" width="18.42578125" bestFit="1" customWidth="1"/>
    <col min="3" max="3" width="10.140625" bestFit="1" customWidth="1"/>
  </cols>
  <sheetData>
    <row r="2" spans="1:4" x14ac:dyDescent="0.25">
      <c r="A2" t="s">
        <v>0</v>
      </c>
      <c r="B2" t="s">
        <v>1</v>
      </c>
      <c r="C2" t="s">
        <v>2</v>
      </c>
    </row>
    <row r="3" spans="1:4" x14ac:dyDescent="0.25">
      <c r="A3" t="s">
        <v>3</v>
      </c>
      <c r="B3" t="s">
        <v>4</v>
      </c>
      <c r="C3" t="s">
        <v>5</v>
      </c>
      <c r="D3" t="s">
        <v>6</v>
      </c>
    </row>
    <row r="4" spans="1:4" x14ac:dyDescent="0.25">
      <c r="A4" t="s">
        <v>7</v>
      </c>
      <c r="B4" t="s">
        <v>8</v>
      </c>
      <c r="C4" t="s">
        <v>9</v>
      </c>
      <c r="D4" t="s">
        <v>10</v>
      </c>
    </row>
    <row r="5" spans="1:4" x14ac:dyDescent="0.25">
      <c r="A5" t="s">
        <v>11</v>
      </c>
      <c r="B5" t="s">
        <v>12</v>
      </c>
      <c r="C5" t="s">
        <v>13</v>
      </c>
    </row>
    <row r="6" spans="1:4" x14ac:dyDescent="0.25">
      <c r="A6" t="s">
        <v>14</v>
      </c>
      <c r="B6" t="s">
        <v>15</v>
      </c>
      <c r="C6" t="s">
        <v>16</v>
      </c>
    </row>
    <row r="7" spans="1:4" x14ac:dyDescent="0.25">
      <c r="A7" t="s">
        <v>17</v>
      </c>
      <c r="B7" s="1" t="s">
        <v>18</v>
      </c>
      <c r="C7" s="1" t="s">
        <v>19</v>
      </c>
      <c r="D7" s="1" t="s">
        <v>20</v>
      </c>
    </row>
    <row r="8" spans="1:4" x14ac:dyDescent="0.25">
      <c r="A8" t="s">
        <v>21</v>
      </c>
      <c r="B8" t="s">
        <v>22</v>
      </c>
    </row>
    <row r="9" spans="1:4" x14ac:dyDescent="0.25">
      <c r="A9" t="s">
        <v>23</v>
      </c>
      <c r="B9" t="s">
        <v>24</v>
      </c>
      <c r="C9" t="s">
        <v>25</v>
      </c>
    </row>
    <row r="10" spans="1:4" x14ac:dyDescent="0.25">
      <c r="A10" t="s">
        <v>26</v>
      </c>
      <c r="B10" t="s">
        <v>27</v>
      </c>
    </row>
    <row r="11" spans="1:4" x14ac:dyDescent="0.25">
      <c r="A11" t="s">
        <v>28</v>
      </c>
      <c r="B11" t="s">
        <v>29</v>
      </c>
      <c r="C11" t="s">
        <v>30</v>
      </c>
    </row>
    <row r="12" spans="1:4" x14ac:dyDescent="0.25">
      <c r="A12" t="s">
        <v>31</v>
      </c>
      <c r="B12" t="s">
        <v>32</v>
      </c>
      <c r="C12" t="s">
        <v>33</v>
      </c>
    </row>
    <row r="13" spans="1:4" x14ac:dyDescent="0.25">
      <c r="A13" t="s">
        <v>34</v>
      </c>
      <c r="B13" t="s">
        <v>35</v>
      </c>
      <c r="C13" t="s">
        <v>36</v>
      </c>
    </row>
    <row r="14" spans="1:4" x14ac:dyDescent="0.25">
      <c r="A14" t="s">
        <v>37</v>
      </c>
      <c r="B14" t="s">
        <v>38</v>
      </c>
      <c r="C14" t="s">
        <v>39</v>
      </c>
    </row>
    <row r="15" spans="1:4" x14ac:dyDescent="0.25">
      <c r="A15" t="s">
        <v>40</v>
      </c>
      <c r="B15" t="s">
        <v>41</v>
      </c>
      <c r="C15" t="s">
        <v>42</v>
      </c>
    </row>
    <row r="16" spans="1:4" x14ac:dyDescent="0.25">
      <c r="A16" t="s">
        <v>43</v>
      </c>
      <c r="B16" t="s">
        <v>44</v>
      </c>
      <c r="C16" t="s">
        <v>45</v>
      </c>
      <c r="D16" t="s">
        <v>46</v>
      </c>
    </row>
    <row r="17" spans="1:3" x14ac:dyDescent="0.25">
      <c r="A17" s="2" t="s">
        <v>47</v>
      </c>
      <c r="B17" s="2" t="s">
        <v>48</v>
      </c>
      <c r="C17" s="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59E5F-7CD4-487C-86D1-A2AE26543E6D}">
  <sheetPr>
    <tabColor rgb="FF002D72"/>
  </sheetPr>
  <dimension ref="A1:X42"/>
  <sheetViews>
    <sheetView tabSelected="1" zoomScale="85" zoomScaleNormal="85" workbookViewId="0">
      <pane ySplit="1" topLeftCell="A2" activePane="bottomLeft" state="frozen"/>
      <selection activeCell="B1" sqref="B1:B1048576"/>
      <selection pane="bottomLeft" activeCell="F10" sqref="F10"/>
    </sheetView>
  </sheetViews>
  <sheetFormatPr defaultRowHeight="30" customHeight="1" x14ac:dyDescent="0.25"/>
  <cols>
    <col min="1" max="1" width="48.7109375" style="76" customWidth="1"/>
    <col min="2" max="2" width="16.7109375" style="78" customWidth="1"/>
    <col min="3" max="5" width="22.7109375" style="9" customWidth="1"/>
    <col min="6" max="6" width="31.7109375" style="78" customWidth="1"/>
    <col min="7" max="19" width="19.5703125" style="28" customWidth="1"/>
    <col min="20" max="24" width="9.140625" style="28"/>
    <col min="25" max="16384" width="9.140625" style="24"/>
  </cols>
  <sheetData>
    <row r="1" spans="1:19" ht="30" customHeight="1" x14ac:dyDescent="0.25">
      <c r="A1" s="33" t="s">
        <v>319</v>
      </c>
      <c r="B1" s="13" t="s">
        <v>50</v>
      </c>
      <c r="C1" s="4" t="s">
        <v>182</v>
      </c>
      <c r="D1" s="4" t="s">
        <v>183</v>
      </c>
      <c r="E1" s="4" t="s">
        <v>184</v>
      </c>
      <c r="F1" s="13" t="s">
        <v>51</v>
      </c>
      <c r="G1" s="13" t="s">
        <v>52</v>
      </c>
      <c r="H1" s="13" t="s">
        <v>53</v>
      </c>
      <c r="I1" s="13" t="s">
        <v>54</v>
      </c>
      <c r="J1" s="13" t="s">
        <v>55</v>
      </c>
      <c r="K1" s="13" t="s">
        <v>56</v>
      </c>
      <c r="L1" s="13" t="s">
        <v>57</v>
      </c>
      <c r="M1" s="13" t="s">
        <v>58</v>
      </c>
      <c r="N1" s="13" t="s">
        <v>59</v>
      </c>
      <c r="O1" s="13" t="s">
        <v>60</v>
      </c>
      <c r="P1" s="13" t="s">
        <v>61</v>
      </c>
      <c r="Q1" s="13" t="s">
        <v>62</v>
      </c>
      <c r="R1" s="13" t="s">
        <v>63</v>
      </c>
      <c r="S1" s="13" t="s">
        <v>64</v>
      </c>
    </row>
    <row r="2" spans="1:19" ht="30" customHeight="1" x14ac:dyDescent="0.25">
      <c r="A2" s="30" t="s">
        <v>65</v>
      </c>
      <c r="B2" s="12" t="s">
        <v>66</v>
      </c>
      <c r="C2" s="4">
        <v>3</v>
      </c>
      <c r="D2" s="4" t="s">
        <v>174</v>
      </c>
      <c r="E2" s="4"/>
      <c r="F2" s="13" t="s">
        <v>294</v>
      </c>
      <c r="G2" s="13" t="s">
        <v>170</v>
      </c>
      <c r="H2" s="13" t="s">
        <v>170</v>
      </c>
      <c r="I2" s="13" t="s">
        <v>170</v>
      </c>
      <c r="J2" s="13" t="s">
        <v>170</v>
      </c>
      <c r="K2" s="13" t="s">
        <v>170</v>
      </c>
      <c r="L2" s="13" t="s">
        <v>170</v>
      </c>
      <c r="M2" s="13" t="s">
        <v>170</v>
      </c>
      <c r="N2" s="13" t="s">
        <v>170</v>
      </c>
      <c r="O2" s="13" t="s">
        <v>170</v>
      </c>
      <c r="P2" s="13" t="s">
        <v>170</v>
      </c>
      <c r="Q2" s="13" t="s">
        <v>170</v>
      </c>
      <c r="R2" s="13" t="s">
        <v>170</v>
      </c>
      <c r="S2" s="13" t="s">
        <v>170</v>
      </c>
    </row>
    <row r="3" spans="1:19" s="28" customFormat="1" ht="30" customHeight="1" x14ac:dyDescent="0.25">
      <c r="A3" s="33" t="s">
        <v>292</v>
      </c>
      <c r="B3" s="16" t="s">
        <v>286</v>
      </c>
      <c r="C3" s="4">
        <v>3</v>
      </c>
      <c r="D3" s="4" t="s">
        <v>174</v>
      </c>
      <c r="E3" s="4"/>
      <c r="F3" s="13" t="s">
        <v>290</v>
      </c>
      <c r="G3" s="13" t="s">
        <v>170</v>
      </c>
      <c r="H3" s="13" t="s">
        <v>170</v>
      </c>
      <c r="I3" s="13" t="s">
        <v>170</v>
      </c>
      <c r="J3" s="13" t="s">
        <v>170</v>
      </c>
      <c r="K3" s="13" t="s">
        <v>170</v>
      </c>
      <c r="L3" s="13" t="s">
        <v>170</v>
      </c>
      <c r="M3" s="13" t="s">
        <v>170</v>
      </c>
      <c r="N3" s="13"/>
      <c r="O3" s="13"/>
      <c r="P3" s="13"/>
      <c r="Q3" s="13"/>
      <c r="R3" s="13" t="s">
        <v>170</v>
      </c>
      <c r="S3" s="13"/>
    </row>
    <row r="4" spans="1:19" s="28" customFormat="1" ht="30" customHeight="1" x14ac:dyDescent="0.25">
      <c r="A4" s="33" t="s">
        <v>292</v>
      </c>
      <c r="B4" s="16" t="s">
        <v>287</v>
      </c>
      <c r="C4" s="4">
        <v>3</v>
      </c>
      <c r="D4" s="4" t="s">
        <v>174</v>
      </c>
      <c r="E4" s="4"/>
      <c r="F4" s="13" t="s">
        <v>290</v>
      </c>
      <c r="G4" s="13"/>
      <c r="H4" s="13"/>
      <c r="I4" s="13"/>
      <c r="J4" s="13"/>
      <c r="K4" s="13"/>
      <c r="L4" s="13"/>
      <c r="M4" s="13"/>
      <c r="N4" s="13" t="s">
        <v>170</v>
      </c>
      <c r="O4" s="13" t="s">
        <v>170</v>
      </c>
      <c r="P4" s="13" t="s">
        <v>170</v>
      </c>
      <c r="Q4" s="13" t="s">
        <v>170</v>
      </c>
      <c r="R4" s="13"/>
      <c r="S4" s="13" t="s">
        <v>170</v>
      </c>
    </row>
    <row r="5" spans="1:19" s="28" customFormat="1" ht="30" customHeight="1" x14ac:dyDescent="0.25">
      <c r="A5" s="33" t="s">
        <v>293</v>
      </c>
      <c r="B5" s="16" t="s">
        <v>288</v>
      </c>
      <c r="C5" s="4">
        <v>3</v>
      </c>
      <c r="D5" s="4" t="s">
        <v>174</v>
      </c>
      <c r="E5" s="4"/>
      <c r="F5" s="13" t="s">
        <v>291</v>
      </c>
      <c r="G5" s="13" t="s">
        <v>170</v>
      </c>
      <c r="H5" s="13" t="s">
        <v>170</v>
      </c>
      <c r="I5" s="13" t="s">
        <v>170</v>
      </c>
      <c r="J5" s="13" t="s">
        <v>170</v>
      </c>
      <c r="K5" s="13" t="s">
        <v>170</v>
      </c>
      <c r="L5" s="13" t="s">
        <v>170</v>
      </c>
      <c r="M5" s="13" t="s">
        <v>170</v>
      </c>
      <c r="N5" s="13"/>
      <c r="O5" s="13"/>
      <c r="P5" s="13"/>
      <c r="Q5" s="13"/>
      <c r="R5" s="13" t="s">
        <v>170</v>
      </c>
      <c r="S5" s="13"/>
    </row>
    <row r="6" spans="1:19" s="28" customFormat="1" ht="30" customHeight="1" x14ac:dyDescent="0.25">
      <c r="A6" s="33" t="s">
        <v>293</v>
      </c>
      <c r="B6" s="16" t="s">
        <v>289</v>
      </c>
      <c r="C6" s="4">
        <v>3</v>
      </c>
      <c r="D6" s="4" t="s">
        <v>174</v>
      </c>
      <c r="E6" s="4"/>
      <c r="F6" s="13" t="s">
        <v>291</v>
      </c>
      <c r="G6" s="13"/>
      <c r="H6" s="13"/>
      <c r="I6" s="13"/>
      <c r="J6" s="13"/>
      <c r="K6" s="13"/>
      <c r="L6" s="13"/>
      <c r="M6" s="13"/>
      <c r="N6" s="13" t="s">
        <v>170</v>
      </c>
      <c r="O6" s="13" t="s">
        <v>170</v>
      </c>
      <c r="P6" s="13" t="s">
        <v>170</v>
      </c>
      <c r="Q6" s="13" t="s">
        <v>170</v>
      </c>
      <c r="R6" s="13"/>
      <c r="S6" s="13" t="s">
        <v>170</v>
      </c>
    </row>
    <row r="7" spans="1:19" s="28" customFormat="1" ht="30" customHeight="1" x14ac:dyDescent="0.25">
      <c r="A7" s="33" t="s">
        <v>69</v>
      </c>
      <c r="B7" s="16" t="s">
        <v>285</v>
      </c>
      <c r="C7" s="4">
        <v>3</v>
      </c>
      <c r="D7" s="4" t="s">
        <v>174</v>
      </c>
      <c r="E7" s="4"/>
      <c r="F7" s="4" t="s">
        <v>284</v>
      </c>
      <c r="G7" s="55" t="s">
        <v>170</v>
      </c>
      <c r="H7" s="13" t="s">
        <v>169</v>
      </c>
      <c r="I7" s="13" t="s">
        <v>169</v>
      </c>
      <c r="J7" s="13" t="s">
        <v>169</v>
      </c>
      <c r="K7" s="13" t="s">
        <v>169</v>
      </c>
      <c r="L7" s="13" t="s">
        <v>169</v>
      </c>
      <c r="M7" s="13" t="s">
        <v>169</v>
      </c>
      <c r="N7" s="13" t="s">
        <v>169</v>
      </c>
      <c r="O7" s="13" t="s">
        <v>169</v>
      </c>
      <c r="P7" s="13" t="s">
        <v>169</v>
      </c>
      <c r="Q7" s="13" t="s">
        <v>169</v>
      </c>
      <c r="R7" s="13" t="s">
        <v>169</v>
      </c>
      <c r="S7" s="13" t="s">
        <v>169</v>
      </c>
    </row>
    <row r="8" spans="1:19" s="28" customFormat="1" ht="30" customHeight="1" x14ac:dyDescent="0.25">
      <c r="A8" s="33" t="s">
        <v>70</v>
      </c>
      <c r="B8" s="12" t="s">
        <v>71</v>
      </c>
      <c r="C8" s="4">
        <v>4</v>
      </c>
      <c r="D8" s="4" t="s">
        <v>175</v>
      </c>
      <c r="E8" s="4"/>
      <c r="F8" s="13" t="s">
        <v>295</v>
      </c>
      <c r="G8" s="13" t="s">
        <v>170</v>
      </c>
      <c r="H8" s="13" t="s">
        <v>170</v>
      </c>
      <c r="I8" s="13" t="s">
        <v>170</v>
      </c>
      <c r="J8" s="13" t="s">
        <v>170</v>
      </c>
      <c r="K8" s="13" t="s">
        <v>170</v>
      </c>
      <c r="L8" s="13" t="s">
        <v>170</v>
      </c>
      <c r="M8" s="13" t="s">
        <v>170</v>
      </c>
      <c r="N8" s="13" t="s">
        <v>169</v>
      </c>
      <c r="O8" s="13" t="s">
        <v>169</v>
      </c>
      <c r="P8" s="13" t="s">
        <v>169</v>
      </c>
      <c r="Q8" s="13" t="s">
        <v>169</v>
      </c>
      <c r="R8" s="13" t="s">
        <v>170</v>
      </c>
      <c r="S8" s="13" t="s">
        <v>169</v>
      </c>
    </row>
    <row r="9" spans="1:19" s="28" customFormat="1" ht="30" customHeight="1" x14ac:dyDescent="0.25">
      <c r="A9" s="33" t="s">
        <v>274</v>
      </c>
      <c r="B9" s="3" t="s">
        <v>274</v>
      </c>
      <c r="C9" s="4">
        <v>10</v>
      </c>
      <c r="D9" s="4" t="s">
        <v>181</v>
      </c>
      <c r="E9" s="4"/>
      <c r="F9" s="13" t="s">
        <v>273</v>
      </c>
      <c r="G9" s="13" t="s">
        <v>170</v>
      </c>
      <c r="H9" s="13" t="s">
        <v>170</v>
      </c>
      <c r="I9" s="13" t="s">
        <v>170</v>
      </c>
      <c r="J9" s="13" t="s">
        <v>170</v>
      </c>
      <c r="K9" s="13" t="s">
        <v>170</v>
      </c>
      <c r="L9" s="13" t="s">
        <v>170</v>
      </c>
      <c r="M9" s="13" t="s">
        <v>170</v>
      </c>
      <c r="N9" s="13" t="s">
        <v>169</v>
      </c>
      <c r="O9" s="13" t="s">
        <v>169</v>
      </c>
      <c r="P9" s="13" t="s">
        <v>169</v>
      </c>
      <c r="Q9" s="13" t="s">
        <v>169</v>
      </c>
      <c r="R9" s="13" t="s">
        <v>170</v>
      </c>
      <c r="S9" s="13" t="s">
        <v>169</v>
      </c>
    </row>
    <row r="10" spans="1:19" s="28" customFormat="1" ht="30" customHeight="1" x14ac:dyDescent="0.25">
      <c r="A10" s="33" t="s">
        <v>168</v>
      </c>
      <c r="B10" s="12" t="s">
        <v>72</v>
      </c>
      <c r="C10" s="4">
        <v>3</v>
      </c>
      <c r="D10" s="4" t="s">
        <v>174</v>
      </c>
      <c r="E10" s="4"/>
      <c r="F10" s="13" t="s">
        <v>296</v>
      </c>
      <c r="G10" s="13" t="s">
        <v>170</v>
      </c>
      <c r="H10" s="13" t="s">
        <v>170</v>
      </c>
      <c r="I10" s="13" t="s">
        <v>170</v>
      </c>
      <c r="J10" s="13" t="s">
        <v>170</v>
      </c>
      <c r="K10" s="13" t="s">
        <v>170</v>
      </c>
      <c r="L10" s="13" t="s">
        <v>170</v>
      </c>
      <c r="M10" s="13" t="s">
        <v>170</v>
      </c>
      <c r="N10" s="13" t="s">
        <v>170</v>
      </c>
      <c r="O10" s="13" t="s">
        <v>170</v>
      </c>
      <c r="P10" s="13" t="s">
        <v>170</v>
      </c>
      <c r="Q10" s="13" t="s">
        <v>170</v>
      </c>
      <c r="R10" s="13" t="s">
        <v>170</v>
      </c>
      <c r="S10" s="13" t="s">
        <v>170</v>
      </c>
    </row>
    <row r="11" spans="1:19" s="28" customFormat="1" ht="30" customHeight="1" x14ac:dyDescent="0.25">
      <c r="A11" s="33" t="s">
        <v>73</v>
      </c>
      <c r="B11" s="17" t="s">
        <v>74</v>
      </c>
      <c r="C11" s="4">
        <v>3</v>
      </c>
      <c r="D11" s="4" t="s">
        <v>174</v>
      </c>
      <c r="E11" s="4"/>
      <c r="F11" s="13" t="s">
        <v>297</v>
      </c>
      <c r="G11" s="13" t="s">
        <v>170</v>
      </c>
      <c r="H11" s="13" t="s">
        <v>170</v>
      </c>
      <c r="I11" s="13" t="s">
        <v>170</v>
      </c>
      <c r="J11" s="13" t="s">
        <v>170</v>
      </c>
      <c r="K11" s="13" t="s">
        <v>170</v>
      </c>
      <c r="L11" s="13" t="s">
        <v>170</v>
      </c>
      <c r="M11" s="13" t="s">
        <v>170</v>
      </c>
      <c r="N11" s="13" t="s">
        <v>170</v>
      </c>
      <c r="O11" s="13" t="s">
        <v>170</v>
      </c>
      <c r="P11" s="13" t="s">
        <v>170</v>
      </c>
      <c r="Q11" s="13" t="s">
        <v>170</v>
      </c>
      <c r="R11" s="13" t="s">
        <v>170</v>
      </c>
      <c r="S11" s="13" t="s">
        <v>170</v>
      </c>
    </row>
    <row r="12" spans="1:19" s="28" customFormat="1" ht="30" customHeight="1" x14ac:dyDescent="0.25">
      <c r="A12" s="33" t="s">
        <v>75</v>
      </c>
      <c r="B12" s="17" t="s">
        <v>76</v>
      </c>
      <c r="C12" s="4">
        <v>3</v>
      </c>
      <c r="D12" s="4" t="s">
        <v>174</v>
      </c>
      <c r="E12" s="4"/>
      <c r="F12" s="13" t="s">
        <v>297</v>
      </c>
      <c r="G12" s="13" t="s">
        <v>170</v>
      </c>
      <c r="H12" s="13" t="s">
        <v>170</v>
      </c>
      <c r="I12" s="13" t="s">
        <v>170</v>
      </c>
      <c r="J12" s="13" t="s">
        <v>170</v>
      </c>
      <c r="K12" s="13" t="s">
        <v>170</v>
      </c>
      <c r="L12" s="13" t="s">
        <v>170</v>
      </c>
      <c r="M12" s="13" t="s">
        <v>170</v>
      </c>
      <c r="N12" s="13" t="s">
        <v>169</v>
      </c>
      <c r="O12" s="13" t="s">
        <v>169</v>
      </c>
      <c r="P12" s="13" t="s">
        <v>169</v>
      </c>
      <c r="Q12" s="13" t="s">
        <v>169</v>
      </c>
      <c r="R12" s="13" t="s">
        <v>170</v>
      </c>
      <c r="S12" s="13" t="s">
        <v>169</v>
      </c>
    </row>
    <row r="13" spans="1:19" s="28" customFormat="1" ht="30" customHeight="1" x14ac:dyDescent="0.25">
      <c r="A13" s="33" t="s">
        <v>77</v>
      </c>
      <c r="B13" s="17" t="s">
        <v>78</v>
      </c>
      <c r="C13" s="4">
        <v>3</v>
      </c>
      <c r="D13" s="4" t="s">
        <v>174</v>
      </c>
      <c r="E13" s="4"/>
      <c r="F13" s="13" t="s">
        <v>297</v>
      </c>
      <c r="G13" s="13" t="s">
        <v>170</v>
      </c>
      <c r="H13" s="13" t="s">
        <v>170</v>
      </c>
      <c r="I13" s="13" t="s">
        <v>170</v>
      </c>
      <c r="J13" s="13" t="s">
        <v>170</v>
      </c>
      <c r="K13" s="13" t="s">
        <v>170</v>
      </c>
      <c r="L13" s="13" t="s">
        <v>170</v>
      </c>
      <c r="M13" s="13" t="s">
        <v>170</v>
      </c>
      <c r="N13" s="13" t="s">
        <v>170</v>
      </c>
      <c r="O13" s="13" t="s">
        <v>170</v>
      </c>
      <c r="P13" s="13" t="s">
        <v>170</v>
      </c>
      <c r="Q13" s="13" t="s">
        <v>170</v>
      </c>
      <c r="R13" s="13" t="s">
        <v>170</v>
      </c>
      <c r="S13" s="13" t="s">
        <v>170</v>
      </c>
    </row>
    <row r="14" spans="1:19" s="28" customFormat="1" ht="30" customHeight="1" x14ac:dyDescent="0.25">
      <c r="A14" s="33" t="s">
        <v>79</v>
      </c>
      <c r="B14" s="17" t="s">
        <v>80</v>
      </c>
      <c r="C14" s="4">
        <v>3</v>
      </c>
      <c r="D14" s="4" t="s">
        <v>174</v>
      </c>
      <c r="E14" s="4"/>
      <c r="F14" s="13" t="s">
        <v>298</v>
      </c>
      <c r="G14" s="13" t="s">
        <v>170</v>
      </c>
      <c r="H14" s="13" t="s">
        <v>170</v>
      </c>
      <c r="I14" s="13" t="s">
        <v>170</v>
      </c>
      <c r="J14" s="13" t="s">
        <v>170</v>
      </c>
      <c r="K14" s="13" t="s">
        <v>170</v>
      </c>
      <c r="L14" s="13" t="s">
        <v>170</v>
      </c>
      <c r="M14" s="13" t="s">
        <v>170</v>
      </c>
      <c r="N14" s="13" t="s">
        <v>170</v>
      </c>
      <c r="O14" s="13" t="s">
        <v>170</v>
      </c>
      <c r="P14" s="13" t="s">
        <v>170</v>
      </c>
      <c r="Q14" s="13" t="s">
        <v>170</v>
      </c>
      <c r="R14" s="13" t="s">
        <v>170</v>
      </c>
      <c r="S14" s="13" t="s">
        <v>170</v>
      </c>
    </row>
    <row r="15" spans="1:19" s="28" customFormat="1" ht="30" customHeight="1" x14ac:dyDescent="0.25">
      <c r="A15" s="33" t="s">
        <v>216</v>
      </c>
      <c r="B15" s="17" t="s">
        <v>82</v>
      </c>
      <c r="C15" s="4">
        <v>3</v>
      </c>
      <c r="D15" s="4" t="s">
        <v>174</v>
      </c>
      <c r="E15" s="4"/>
      <c r="F15" s="13" t="s">
        <v>297</v>
      </c>
      <c r="G15" s="13" t="s">
        <v>170</v>
      </c>
      <c r="H15" s="13" t="s">
        <v>170</v>
      </c>
      <c r="I15" s="13" t="s">
        <v>170</v>
      </c>
      <c r="J15" s="13" t="s">
        <v>170</v>
      </c>
      <c r="K15" s="13" t="s">
        <v>170</v>
      </c>
      <c r="L15" s="13" t="s">
        <v>170</v>
      </c>
      <c r="M15" s="13" t="s">
        <v>170</v>
      </c>
      <c r="N15" s="13" t="s">
        <v>170</v>
      </c>
      <c r="O15" s="13" t="s">
        <v>170</v>
      </c>
      <c r="P15" s="13" t="s">
        <v>170</v>
      </c>
      <c r="Q15" s="13" t="s">
        <v>170</v>
      </c>
      <c r="R15" s="13" t="s">
        <v>170</v>
      </c>
      <c r="S15" s="13" t="s">
        <v>170</v>
      </c>
    </row>
    <row r="16" spans="1:19" s="28" customFormat="1" ht="30" customHeight="1" x14ac:dyDescent="0.25">
      <c r="A16" s="33" t="s">
        <v>83</v>
      </c>
      <c r="B16" s="17" t="s">
        <v>84</v>
      </c>
      <c r="C16" s="4">
        <v>10</v>
      </c>
      <c r="D16" s="4" t="s">
        <v>181</v>
      </c>
      <c r="E16" s="4"/>
      <c r="F16" s="13" t="s">
        <v>304</v>
      </c>
      <c r="G16" s="13" t="s">
        <v>170</v>
      </c>
      <c r="H16" s="13" t="s">
        <v>170</v>
      </c>
      <c r="I16" s="13" t="s">
        <v>170</v>
      </c>
      <c r="J16" s="13" t="s">
        <v>170</v>
      </c>
      <c r="K16" s="13" t="s">
        <v>170</v>
      </c>
      <c r="L16" s="13" t="s">
        <v>170</v>
      </c>
      <c r="M16" s="13" t="s">
        <v>170</v>
      </c>
      <c r="N16" s="13" t="s">
        <v>170</v>
      </c>
      <c r="O16" s="13" t="s">
        <v>169</v>
      </c>
      <c r="P16" s="13" t="s">
        <v>169</v>
      </c>
      <c r="Q16" s="13" t="s">
        <v>169</v>
      </c>
      <c r="R16" s="13" t="s">
        <v>170</v>
      </c>
      <c r="S16" s="13" t="s">
        <v>170</v>
      </c>
    </row>
    <row r="17" spans="1:19" s="28" customFormat="1" ht="30" customHeight="1" x14ac:dyDescent="0.25">
      <c r="A17" s="33" t="s">
        <v>85</v>
      </c>
      <c r="B17" s="17" t="s">
        <v>86</v>
      </c>
      <c r="C17" s="4">
        <v>10</v>
      </c>
      <c r="D17" s="4" t="s">
        <v>181</v>
      </c>
      <c r="E17" s="4"/>
      <c r="F17" s="13" t="s">
        <v>304</v>
      </c>
      <c r="G17" s="13" t="s">
        <v>170</v>
      </c>
      <c r="H17" s="13" t="s">
        <v>169</v>
      </c>
      <c r="I17" s="13" t="s">
        <v>169</v>
      </c>
      <c r="J17" s="13" t="s">
        <v>170</v>
      </c>
      <c r="K17" s="13" t="s">
        <v>169</v>
      </c>
      <c r="L17" s="13" t="s">
        <v>169</v>
      </c>
      <c r="M17" s="13" t="s">
        <v>169</v>
      </c>
      <c r="N17" s="13" t="s">
        <v>170</v>
      </c>
      <c r="O17" s="13" t="s">
        <v>169</v>
      </c>
      <c r="P17" s="13" t="s">
        <v>169</v>
      </c>
      <c r="Q17" s="13" t="s">
        <v>169</v>
      </c>
      <c r="R17" s="13" t="s">
        <v>169</v>
      </c>
      <c r="S17" s="13" t="s">
        <v>169</v>
      </c>
    </row>
    <row r="18" spans="1:19" s="28" customFormat="1" ht="30" customHeight="1" x14ac:dyDescent="0.25">
      <c r="A18" s="33" t="s">
        <v>87</v>
      </c>
      <c r="B18" s="15" t="s">
        <v>88</v>
      </c>
      <c r="C18" s="4">
        <v>3</v>
      </c>
      <c r="D18" s="4" t="s">
        <v>174</v>
      </c>
      <c r="E18" s="4"/>
      <c r="F18" s="13" t="s">
        <v>299</v>
      </c>
      <c r="G18" s="13" t="s">
        <v>169</v>
      </c>
      <c r="H18" s="13" t="s">
        <v>169</v>
      </c>
      <c r="I18" s="13" t="s">
        <v>169</v>
      </c>
      <c r="J18" s="13" t="s">
        <v>169</v>
      </c>
      <c r="K18" s="13" t="s">
        <v>170</v>
      </c>
      <c r="L18" s="13" t="s">
        <v>169</v>
      </c>
      <c r="M18" s="13" t="s">
        <v>169</v>
      </c>
      <c r="N18" s="13" t="s">
        <v>169</v>
      </c>
      <c r="O18" s="13" t="s">
        <v>170</v>
      </c>
      <c r="P18" s="13" t="s">
        <v>170</v>
      </c>
      <c r="Q18" s="13" t="s">
        <v>169</v>
      </c>
      <c r="R18" s="13" t="s">
        <v>169</v>
      </c>
      <c r="S18" s="13" t="s">
        <v>169</v>
      </c>
    </row>
    <row r="19" spans="1:19" s="28" customFormat="1" ht="30" customHeight="1" x14ac:dyDescent="0.25">
      <c r="A19" s="33" t="s">
        <v>89</v>
      </c>
      <c r="B19" s="16" t="s">
        <v>90</v>
      </c>
      <c r="C19" s="4">
        <v>3</v>
      </c>
      <c r="D19" s="4" t="s">
        <v>174</v>
      </c>
      <c r="E19" s="4"/>
      <c r="F19" s="13" t="s">
        <v>300</v>
      </c>
      <c r="G19" s="13" t="s">
        <v>170</v>
      </c>
      <c r="H19" s="13" t="s">
        <v>170</v>
      </c>
      <c r="I19" s="13" t="s">
        <v>170</v>
      </c>
      <c r="J19" s="13" t="s">
        <v>170</v>
      </c>
      <c r="K19" s="13" t="s">
        <v>169</v>
      </c>
      <c r="L19" s="13" t="s">
        <v>170</v>
      </c>
      <c r="M19" s="13" t="s">
        <v>170</v>
      </c>
      <c r="N19" s="13" t="s">
        <v>170</v>
      </c>
      <c r="O19" s="13" t="s">
        <v>169</v>
      </c>
      <c r="P19" s="13" t="s">
        <v>169</v>
      </c>
      <c r="Q19" s="13" t="s">
        <v>170</v>
      </c>
      <c r="R19" s="13" t="s">
        <v>170</v>
      </c>
      <c r="S19" s="13" t="s">
        <v>170</v>
      </c>
    </row>
    <row r="20" spans="1:19" s="28" customFormat="1" ht="30" customHeight="1" x14ac:dyDescent="0.25">
      <c r="A20" s="33" t="s">
        <v>91</v>
      </c>
      <c r="B20" s="17" t="s">
        <v>92</v>
      </c>
      <c r="C20" s="4">
        <v>10</v>
      </c>
      <c r="D20" s="4" t="s">
        <v>181</v>
      </c>
      <c r="E20" s="4"/>
      <c r="F20" s="13" t="s">
        <v>304</v>
      </c>
      <c r="G20" s="13" t="s">
        <v>170</v>
      </c>
      <c r="H20" s="13" t="s">
        <v>170</v>
      </c>
      <c r="I20" s="13" t="s">
        <v>170</v>
      </c>
      <c r="J20" s="13" t="s">
        <v>170</v>
      </c>
      <c r="K20" s="13" t="s">
        <v>169</v>
      </c>
      <c r="L20" s="13" t="s">
        <v>169</v>
      </c>
      <c r="M20" s="13" t="s">
        <v>169</v>
      </c>
      <c r="N20" s="13" t="s">
        <v>169</v>
      </c>
      <c r="O20" s="13" t="s">
        <v>169</v>
      </c>
      <c r="P20" s="13" t="s">
        <v>169</v>
      </c>
      <c r="Q20" s="13" t="s">
        <v>169</v>
      </c>
      <c r="R20" s="13" t="s">
        <v>169</v>
      </c>
      <c r="S20" s="13" t="s">
        <v>169</v>
      </c>
    </row>
    <row r="21" spans="1:19" s="28" customFormat="1" ht="30" customHeight="1" x14ac:dyDescent="0.25">
      <c r="A21" s="33" t="s">
        <v>93</v>
      </c>
      <c r="B21" s="17" t="s">
        <v>94</v>
      </c>
      <c r="C21" s="4">
        <v>10</v>
      </c>
      <c r="D21" s="4" t="s">
        <v>181</v>
      </c>
      <c r="E21" s="4"/>
      <c r="F21" s="13" t="s">
        <v>304</v>
      </c>
      <c r="G21" s="13" t="s">
        <v>170</v>
      </c>
      <c r="H21" s="13" t="s">
        <v>169</v>
      </c>
      <c r="I21" s="13" t="s">
        <v>169</v>
      </c>
      <c r="J21" s="13" t="s">
        <v>169</v>
      </c>
      <c r="K21" s="13" t="s">
        <v>169</v>
      </c>
      <c r="L21" s="13" t="s">
        <v>169</v>
      </c>
      <c r="M21" s="13" t="s">
        <v>169</v>
      </c>
      <c r="N21" s="13" t="s">
        <v>169</v>
      </c>
      <c r="O21" s="13" t="s">
        <v>169</v>
      </c>
      <c r="P21" s="13" t="s">
        <v>169</v>
      </c>
      <c r="Q21" s="13" t="s">
        <v>169</v>
      </c>
      <c r="R21" s="13" t="s">
        <v>169</v>
      </c>
      <c r="S21" s="13" t="s">
        <v>169</v>
      </c>
    </row>
    <row r="22" spans="1:19" s="28" customFormat="1" ht="30" customHeight="1" x14ac:dyDescent="0.25">
      <c r="A22" s="33" t="s">
        <v>95</v>
      </c>
      <c r="B22" s="17" t="s">
        <v>96</v>
      </c>
      <c r="C22" s="4">
        <v>10</v>
      </c>
      <c r="D22" s="4" t="s">
        <v>181</v>
      </c>
      <c r="E22" s="4"/>
      <c r="F22" s="13" t="s">
        <v>304</v>
      </c>
      <c r="G22" s="13" t="s">
        <v>170</v>
      </c>
      <c r="H22" s="13" t="s">
        <v>169</v>
      </c>
      <c r="I22" s="13" t="s">
        <v>169</v>
      </c>
      <c r="J22" s="13" t="s">
        <v>169</v>
      </c>
      <c r="K22" s="13" t="s">
        <v>169</v>
      </c>
      <c r="L22" s="13" t="s">
        <v>169</v>
      </c>
      <c r="M22" s="13" t="s">
        <v>169</v>
      </c>
      <c r="N22" s="13" t="s">
        <v>169</v>
      </c>
      <c r="O22" s="13" t="s">
        <v>169</v>
      </c>
      <c r="P22" s="13" t="s">
        <v>169</v>
      </c>
      <c r="Q22" s="13" t="s">
        <v>169</v>
      </c>
      <c r="R22" s="13" t="s">
        <v>169</v>
      </c>
      <c r="S22" s="13" t="s">
        <v>169</v>
      </c>
    </row>
    <row r="23" spans="1:19" s="28" customFormat="1" ht="30" customHeight="1" x14ac:dyDescent="0.25">
      <c r="A23" s="33" t="s">
        <v>97</v>
      </c>
      <c r="B23" s="17" t="s">
        <v>98</v>
      </c>
      <c r="C23" s="4">
        <v>10</v>
      </c>
      <c r="D23" s="4" t="s">
        <v>181</v>
      </c>
      <c r="E23" s="4"/>
      <c r="F23" s="13" t="s">
        <v>304</v>
      </c>
      <c r="G23" s="13" t="s">
        <v>170</v>
      </c>
      <c r="H23" s="13" t="s">
        <v>169</v>
      </c>
      <c r="I23" s="13" t="s">
        <v>169</v>
      </c>
      <c r="J23" s="13" t="s">
        <v>169</v>
      </c>
      <c r="K23" s="13" t="s">
        <v>169</v>
      </c>
      <c r="L23" s="13" t="s">
        <v>169</v>
      </c>
      <c r="M23" s="13" t="s">
        <v>169</v>
      </c>
      <c r="N23" s="13" t="s">
        <v>169</v>
      </c>
      <c r="O23" s="13" t="s">
        <v>169</v>
      </c>
      <c r="P23" s="13" t="s">
        <v>169</v>
      </c>
      <c r="Q23" s="13" t="s">
        <v>169</v>
      </c>
      <c r="R23" s="13" t="s">
        <v>169</v>
      </c>
      <c r="S23" s="13" t="s">
        <v>169</v>
      </c>
    </row>
    <row r="24" spans="1:19" s="28" customFormat="1" ht="30" customHeight="1" x14ac:dyDescent="0.25">
      <c r="A24" s="33" t="s">
        <v>99</v>
      </c>
      <c r="B24" s="17" t="s">
        <v>100</v>
      </c>
      <c r="C24" s="4">
        <v>10</v>
      </c>
      <c r="D24" s="4" t="s">
        <v>181</v>
      </c>
      <c r="E24" s="4"/>
      <c r="F24" s="13" t="s">
        <v>304</v>
      </c>
      <c r="G24" s="13" t="s">
        <v>170</v>
      </c>
      <c r="H24" s="13" t="s">
        <v>169</v>
      </c>
      <c r="I24" s="13" t="s">
        <v>169</v>
      </c>
      <c r="J24" s="13" t="s">
        <v>169</v>
      </c>
      <c r="K24" s="13" t="s">
        <v>169</v>
      </c>
      <c r="L24" s="13" t="s">
        <v>169</v>
      </c>
      <c r="M24" s="13" t="s">
        <v>169</v>
      </c>
      <c r="N24" s="13" t="s">
        <v>169</v>
      </c>
      <c r="O24" s="13" t="s">
        <v>169</v>
      </c>
      <c r="P24" s="13" t="s">
        <v>169</v>
      </c>
      <c r="Q24" s="13" t="s">
        <v>169</v>
      </c>
      <c r="R24" s="13" t="s">
        <v>169</v>
      </c>
      <c r="S24" s="13" t="s">
        <v>169</v>
      </c>
    </row>
    <row r="25" spans="1:19" s="28" customFormat="1" ht="30" customHeight="1" x14ac:dyDescent="0.25">
      <c r="A25" s="33" t="s">
        <v>101</v>
      </c>
      <c r="B25" s="17" t="s">
        <v>102</v>
      </c>
      <c r="C25" s="4">
        <v>10</v>
      </c>
      <c r="D25" s="4" t="s">
        <v>181</v>
      </c>
      <c r="E25" s="4"/>
      <c r="F25" s="13" t="s">
        <v>304</v>
      </c>
      <c r="G25" s="13" t="s">
        <v>170</v>
      </c>
      <c r="H25" s="13" t="s">
        <v>170</v>
      </c>
      <c r="I25" s="13" t="s">
        <v>170</v>
      </c>
      <c r="J25" s="13" t="s">
        <v>170</v>
      </c>
      <c r="K25" s="13" t="s">
        <v>169</v>
      </c>
      <c r="L25" s="13" t="s">
        <v>169</v>
      </c>
      <c r="M25" s="13" t="s">
        <v>169</v>
      </c>
      <c r="N25" s="13" t="s">
        <v>169</v>
      </c>
      <c r="O25" s="13" t="s">
        <v>169</v>
      </c>
      <c r="P25" s="13" t="s">
        <v>169</v>
      </c>
      <c r="Q25" s="13" t="s">
        <v>169</v>
      </c>
      <c r="R25" s="13" t="s">
        <v>169</v>
      </c>
      <c r="S25" s="13" t="s">
        <v>169</v>
      </c>
    </row>
    <row r="26" spans="1:19" s="28" customFormat="1" ht="30" customHeight="1" x14ac:dyDescent="0.25">
      <c r="A26" s="33" t="s">
        <v>103</v>
      </c>
      <c r="B26" s="17" t="s">
        <v>104</v>
      </c>
      <c r="C26" s="4">
        <v>10</v>
      </c>
      <c r="D26" s="4" t="s">
        <v>181</v>
      </c>
      <c r="E26" s="4"/>
      <c r="F26" s="13" t="s">
        <v>301</v>
      </c>
      <c r="G26" s="13" t="s">
        <v>170</v>
      </c>
      <c r="H26" s="13" t="s">
        <v>170</v>
      </c>
      <c r="I26" s="13" t="s">
        <v>170</v>
      </c>
      <c r="J26" s="13" t="s">
        <v>170</v>
      </c>
      <c r="K26" s="13" t="s">
        <v>169</v>
      </c>
      <c r="L26" s="13" t="s">
        <v>169</v>
      </c>
      <c r="M26" s="13" t="s">
        <v>169</v>
      </c>
      <c r="N26" s="13" t="s">
        <v>169</v>
      </c>
      <c r="O26" s="13" t="s">
        <v>169</v>
      </c>
      <c r="P26" s="13" t="s">
        <v>169</v>
      </c>
      <c r="Q26" s="13" t="s">
        <v>169</v>
      </c>
      <c r="R26" s="13" t="s">
        <v>169</v>
      </c>
      <c r="S26" s="13" t="s">
        <v>169</v>
      </c>
    </row>
    <row r="27" spans="1:19" s="28" customFormat="1" ht="30" customHeight="1" x14ac:dyDescent="0.25">
      <c r="A27" s="33" t="s">
        <v>105</v>
      </c>
      <c r="B27" s="17" t="s">
        <v>106</v>
      </c>
      <c r="C27" s="4">
        <v>10</v>
      </c>
      <c r="D27" s="4" t="s">
        <v>181</v>
      </c>
      <c r="E27" s="4"/>
      <c r="F27" s="13" t="s">
        <v>302</v>
      </c>
      <c r="G27" s="13" t="s">
        <v>170</v>
      </c>
      <c r="H27" s="13" t="s">
        <v>170</v>
      </c>
      <c r="I27" s="13" t="s">
        <v>169</v>
      </c>
      <c r="J27" s="13" t="s">
        <v>169</v>
      </c>
      <c r="K27" s="13" t="s">
        <v>169</v>
      </c>
      <c r="L27" s="13" t="s">
        <v>169</v>
      </c>
      <c r="M27" s="13" t="s">
        <v>169</v>
      </c>
      <c r="N27" s="13" t="s">
        <v>169</v>
      </c>
      <c r="O27" s="13" t="s">
        <v>169</v>
      </c>
      <c r="P27" s="13" t="s">
        <v>169</v>
      </c>
      <c r="Q27" s="13" t="s">
        <v>169</v>
      </c>
      <c r="R27" s="13" t="s">
        <v>169</v>
      </c>
      <c r="S27" s="13" t="s">
        <v>169</v>
      </c>
    </row>
    <row r="28" spans="1:19" s="28" customFormat="1" ht="30" customHeight="1" x14ac:dyDescent="0.25">
      <c r="A28" s="49" t="s">
        <v>250</v>
      </c>
      <c r="B28" s="32" t="s">
        <v>251</v>
      </c>
      <c r="C28" s="4">
        <v>5</v>
      </c>
      <c r="D28" s="4" t="s">
        <v>176</v>
      </c>
      <c r="E28" s="4"/>
      <c r="F28" s="13" t="s">
        <v>303</v>
      </c>
      <c r="G28" s="13" t="s">
        <v>170</v>
      </c>
      <c r="H28" s="13" t="s">
        <v>170</v>
      </c>
      <c r="I28" s="13" t="s">
        <v>169</v>
      </c>
      <c r="J28" s="13" t="s">
        <v>169</v>
      </c>
      <c r="K28" s="13" t="s">
        <v>169</v>
      </c>
      <c r="L28" s="13" t="s">
        <v>169</v>
      </c>
      <c r="M28" s="13" t="s">
        <v>169</v>
      </c>
      <c r="N28" s="13" t="s">
        <v>169</v>
      </c>
      <c r="O28" s="13" t="s">
        <v>169</v>
      </c>
      <c r="P28" s="13" t="s">
        <v>169</v>
      </c>
      <c r="Q28" s="13" t="s">
        <v>169</v>
      </c>
      <c r="R28" s="13" t="s">
        <v>169</v>
      </c>
      <c r="S28" s="13" t="s">
        <v>169</v>
      </c>
    </row>
    <row r="29" spans="1:19" s="28" customFormat="1" ht="30" customHeight="1" x14ac:dyDescent="0.25">
      <c r="A29" s="33" t="s">
        <v>107</v>
      </c>
      <c r="B29" s="17" t="s">
        <v>108</v>
      </c>
      <c r="C29" s="4">
        <v>10</v>
      </c>
      <c r="D29" s="4" t="s">
        <v>181</v>
      </c>
      <c r="E29" s="4"/>
      <c r="F29" s="13" t="s">
        <v>304</v>
      </c>
      <c r="G29" s="13" t="s">
        <v>170</v>
      </c>
      <c r="H29" s="13" t="s">
        <v>170</v>
      </c>
      <c r="I29" s="13" t="s">
        <v>169</v>
      </c>
      <c r="J29" s="13" t="s">
        <v>169</v>
      </c>
      <c r="K29" s="13" t="s">
        <v>169</v>
      </c>
      <c r="L29" s="13" t="s">
        <v>169</v>
      </c>
      <c r="M29" s="13" t="s">
        <v>169</v>
      </c>
      <c r="N29" s="13" t="s">
        <v>169</v>
      </c>
      <c r="O29" s="13" t="s">
        <v>169</v>
      </c>
      <c r="P29" s="13" t="s">
        <v>169</v>
      </c>
      <c r="Q29" s="13" t="s">
        <v>169</v>
      </c>
      <c r="R29" s="13" t="s">
        <v>169</v>
      </c>
      <c r="S29" s="13" t="s">
        <v>169</v>
      </c>
    </row>
    <row r="30" spans="1:19" s="28" customFormat="1" ht="30" customHeight="1" x14ac:dyDescent="0.25">
      <c r="A30" s="33" t="s">
        <v>109</v>
      </c>
      <c r="B30" s="12" t="s">
        <v>110</v>
      </c>
      <c r="C30" s="4">
        <v>6</v>
      </c>
      <c r="D30" s="4" t="s">
        <v>177</v>
      </c>
      <c r="E30" s="4"/>
      <c r="F30" s="13" t="s">
        <v>305</v>
      </c>
      <c r="G30" s="13" t="s">
        <v>170</v>
      </c>
      <c r="H30" s="13" t="s">
        <v>170</v>
      </c>
      <c r="I30" s="13" t="s">
        <v>169</v>
      </c>
      <c r="J30" s="13" t="s">
        <v>169</v>
      </c>
      <c r="K30" s="13" t="s">
        <v>169</v>
      </c>
      <c r="L30" s="13" t="s">
        <v>169</v>
      </c>
      <c r="M30" s="13" t="s">
        <v>169</v>
      </c>
      <c r="N30" s="13" t="s">
        <v>169</v>
      </c>
      <c r="O30" s="13" t="s">
        <v>169</v>
      </c>
      <c r="P30" s="13" t="s">
        <v>169</v>
      </c>
      <c r="Q30" s="13" t="s">
        <v>169</v>
      </c>
      <c r="R30" s="13" t="s">
        <v>169</v>
      </c>
      <c r="S30" s="13" t="s">
        <v>169</v>
      </c>
    </row>
    <row r="31" spans="1:19" s="28" customFormat="1" ht="30" customHeight="1" x14ac:dyDescent="0.25">
      <c r="A31" s="33" t="s">
        <v>111</v>
      </c>
      <c r="B31" s="17" t="s">
        <v>112</v>
      </c>
      <c r="C31" s="4">
        <v>10</v>
      </c>
      <c r="D31" s="4" t="s">
        <v>181</v>
      </c>
      <c r="E31" s="4"/>
      <c r="F31" s="13" t="s">
        <v>304</v>
      </c>
      <c r="G31" s="13" t="s">
        <v>170</v>
      </c>
      <c r="H31" s="13" t="s">
        <v>169</v>
      </c>
      <c r="I31" s="13" t="s">
        <v>170</v>
      </c>
      <c r="J31" s="13" t="s">
        <v>169</v>
      </c>
      <c r="K31" s="13" t="s">
        <v>169</v>
      </c>
      <c r="L31" s="13" t="s">
        <v>169</v>
      </c>
      <c r="M31" s="13" t="s">
        <v>169</v>
      </c>
      <c r="N31" s="13" t="s">
        <v>169</v>
      </c>
      <c r="O31" s="13" t="s">
        <v>169</v>
      </c>
      <c r="P31" s="13" t="s">
        <v>169</v>
      </c>
      <c r="Q31" s="13" t="s">
        <v>169</v>
      </c>
      <c r="R31" s="13" t="s">
        <v>169</v>
      </c>
      <c r="S31" s="13" t="s">
        <v>169</v>
      </c>
    </row>
    <row r="32" spans="1:19" s="28" customFormat="1" ht="30" customHeight="1" x14ac:dyDescent="0.25">
      <c r="A32" s="33" t="s">
        <v>113</v>
      </c>
      <c r="B32" s="17" t="s">
        <v>114</v>
      </c>
      <c r="C32" s="4">
        <v>10</v>
      </c>
      <c r="D32" s="4" t="s">
        <v>181</v>
      </c>
      <c r="E32" s="4"/>
      <c r="F32" s="13" t="s">
        <v>304</v>
      </c>
      <c r="G32" s="13" t="s">
        <v>170</v>
      </c>
      <c r="H32" s="13" t="s">
        <v>169</v>
      </c>
      <c r="I32" s="13" t="s">
        <v>170</v>
      </c>
      <c r="J32" s="13" t="s">
        <v>169</v>
      </c>
      <c r="K32" s="13" t="s">
        <v>169</v>
      </c>
      <c r="L32" s="13" t="s">
        <v>169</v>
      </c>
      <c r="M32" s="13" t="s">
        <v>169</v>
      </c>
      <c r="N32" s="13" t="s">
        <v>169</v>
      </c>
      <c r="O32" s="13" t="s">
        <v>169</v>
      </c>
      <c r="P32" s="13" t="s">
        <v>169</v>
      </c>
      <c r="Q32" s="13" t="s">
        <v>169</v>
      </c>
      <c r="R32" s="13" t="s">
        <v>169</v>
      </c>
      <c r="S32" s="13" t="s">
        <v>169</v>
      </c>
    </row>
    <row r="33" spans="1:19" s="28" customFormat="1" ht="30" customHeight="1" x14ac:dyDescent="0.25">
      <c r="A33" s="33" t="s">
        <v>115</v>
      </c>
      <c r="B33" s="17" t="s">
        <v>116</v>
      </c>
      <c r="C33" s="4">
        <v>10</v>
      </c>
      <c r="D33" s="4" t="s">
        <v>181</v>
      </c>
      <c r="E33" s="4"/>
      <c r="F33" s="13" t="s">
        <v>304</v>
      </c>
      <c r="G33" s="13" t="s">
        <v>170</v>
      </c>
      <c r="H33" s="13" t="s">
        <v>169</v>
      </c>
      <c r="I33" s="13" t="s">
        <v>170</v>
      </c>
      <c r="J33" s="13" t="s">
        <v>169</v>
      </c>
      <c r="K33" s="13" t="s">
        <v>169</v>
      </c>
      <c r="L33" s="13" t="s">
        <v>169</v>
      </c>
      <c r="M33" s="13" t="s">
        <v>169</v>
      </c>
      <c r="N33" s="13" t="s">
        <v>169</v>
      </c>
      <c r="O33" s="13" t="s">
        <v>169</v>
      </c>
      <c r="P33" s="13" t="s">
        <v>169</v>
      </c>
      <c r="Q33" s="13" t="s">
        <v>169</v>
      </c>
      <c r="R33" s="13" t="s">
        <v>169</v>
      </c>
      <c r="S33" s="13" t="s">
        <v>169</v>
      </c>
    </row>
    <row r="34" spans="1:19" s="28" customFormat="1" ht="30" customHeight="1" x14ac:dyDescent="0.25">
      <c r="A34" s="33" t="s">
        <v>117</v>
      </c>
      <c r="B34" s="17" t="s">
        <v>118</v>
      </c>
      <c r="C34" s="4">
        <v>10</v>
      </c>
      <c r="D34" s="4" t="s">
        <v>181</v>
      </c>
      <c r="E34" s="4"/>
      <c r="F34" s="13" t="s">
        <v>304</v>
      </c>
      <c r="G34" s="13" t="s">
        <v>170</v>
      </c>
      <c r="H34" s="13" t="s">
        <v>169</v>
      </c>
      <c r="I34" s="13" t="s">
        <v>170</v>
      </c>
      <c r="J34" s="13" t="s">
        <v>169</v>
      </c>
      <c r="K34" s="13" t="s">
        <v>169</v>
      </c>
      <c r="L34" s="13" t="s">
        <v>169</v>
      </c>
      <c r="M34" s="13" t="s">
        <v>169</v>
      </c>
      <c r="N34" s="13" t="s">
        <v>169</v>
      </c>
      <c r="O34" s="13" t="s">
        <v>169</v>
      </c>
      <c r="P34" s="13" t="s">
        <v>169</v>
      </c>
      <c r="Q34" s="13" t="s">
        <v>169</v>
      </c>
      <c r="R34" s="13" t="s">
        <v>169</v>
      </c>
      <c r="S34" s="13" t="s">
        <v>169</v>
      </c>
    </row>
    <row r="35" spans="1:19" s="28" customFormat="1" ht="30" customHeight="1" x14ac:dyDescent="0.25">
      <c r="A35" s="33" t="s">
        <v>119</v>
      </c>
      <c r="B35" s="17" t="s">
        <v>120</v>
      </c>
      <c r="C35" s="4">
        <v>10</v>
      </c>
      <c r="D35" s="4" t="s">
        <v>181</v>
      </c>
      <c r="E35" s="4"/>
      <c r="F35" s="13" t="s">
        <v>304</v>
      </c>
      <c r="G35" s="13" t="s">
        <v>170</v>
      </c>
      <c r="H35" s="13" t="s">
        <v>169</v>
      </c>
      <c r="I35" s="13" t="s">
        <v>170</v>
      </c>
      <c r="J35" s="13" t="s">
        <v>169</v>
      </c>
      <c r="K35" s="13" t="s">
        <v>169</v>
      </c>
      <c r="L35" s="13" t="s">
        <v>169</v>
      </c>
      <c r="M35" s="13" t="s">
        <v>169</v>
      </c>
      <c r="N35" s="13" t="s">
        <v>169</v>
      </c>
      <c r="O35" s="13" t="s">
        <v>169</v>
      </c>
      <c r="P35" s="13" t="s">
        <v>169</v>
      </c>
      <c r="Q35" s="13" t="s">
        <v>169</v>
      </c>
      <c r="R35" s="13" t="s">
        <v>169</v>
      </c>
      <c r="S35" s="13" t="s">
        <v>169</v>
      </c>
    </row>
    <row r="36" spans="1:19" s="28" customFormat="1" ht="30" customHeight="1" x14ac:dyDescent="0.25">
      <c r="A36" s="33" t="s">
        <v>121</v>
      </c>
      <c r="B36" s="17" t="s">
        <v>307</v>
      </c>
      <c r="C36" s="4">
        <v>10</v>
      </c>
      <c r="D36" s="4" t="s">
        <v>181</v>
      </c>
      <c r="E36" s="4"/>
      <c r="F36" s="13" t="s">
        <v>304</v>
      </c>
      <c r="G36" s="13" t="s">
        <v>170</v>
      </c>
      <c r="H36" s="13" t="s">
        <v>169</v>
      </c>
      <c r="I36" s="13" t="s">
        <v>170</v>
      </c>
      <c r="J36" s="13" t="s">
        <v>169</v>
      </c>
      <c r="K36" s="13" t="s">
        <v>169</v>
      </c>
      <c r="L36" s="13" t="s">
        <v>169</v>
      </c>
      <c r="M36" s="13" t="s">
        <v>169</v>
      </c>
      <c r="N36" s="13" t="s">
        <v>169</v>
      </c>
      <c r="O36" s="13" t="s">
        <v>169</v>
      </c>
      <c r="P36" s="13" t="s">
        <v>169</v>
      </c>
      <c r="Q36" s="13" t="s">
        <v>169</v>
      </c>
      <c r="R36" s="13" t="s">
        <v>169</v>
      </c>
      <c r="S36" s="13" t="s">
        <v>169</v>
      </c>
    </row>
    <row r="37" spans="1:19" s="28" customFormat="1" ht="30" customHeight="1" x14ac:dyDescent="0.25">
      <c r="A37" s="33" t="s">
        <v>122</v>
      </c>
      <c r="B37" s="17" t="s">
        <v>123</v>
      </c>
      <c r="C37" s="4">
        <v>5</v>
      </c>
      <c r="D37" s="4" t="s">
        <v>176</v>
      </c>
      <c r="E37" s="4"/>
      <c r="F37" s="13" t="s">
        <v>169</v>
      </c>
      <c r="G37" s="13" t="s">
        <v>169</v>
      </c>
      <c r="H37" s="13" t="s">
        <v>169</v>
      </c>
      <c r="I37" s="13" t="s">
        <v>170</v>
      </c>
      <c r="J37" s="13" t="s">
        <v>169</v>
      </c>
      <c r="K37" s="13" t="s">
        <v>169</v>
      </c>
      <c r="L37" s="13" t="s">
        <v>169</v>
      </c>
      <c r="M37" s="13" t="s">
        <v>169</v>
      </c>
      <c r="N37" s="13" t="s">
        <v>169</v>
      </c>
      <c r="O37" s="13" t="s">
        <v>169</v>
      </c>
      <c r="P37" s="13" t="s">
        <v>169</v>
      </c>
      <c r="Q37" s="13" t="s">
        <v>169</v>
      </c>
      <c r="R37" s="13" t="s">
        <v>169</v>
      </c>
      <c r="S37" s="13" t="s">
        <v>169</v>
      </c>
    </row>
    <row r="38" spans="1:19" s="28" customFormat="1" ht="30" customHeight="1" x14ac:dyDescent="0.25">
      <c r="A38" s="30" t="s">
        <v>124</v>
      </c>
      <c r="B38" s="8" t="s">
        <v>238</v>
      </c>
      <c r="C38" s="4">
        <v>7</v>
      </c>
      <c r="D38" s="4" t="s">
        <v>178</v>
      </c>
      <c r="E38" s="4"/>
      <c r="F38" s="11" t="s">
        <v>270</v>
      </c>
      <c r="G38" s="13" t="s">
        <v>170</v>
      </c>
      <c r="H38" s="13" t="s">
        <v>169</v>
      </c>
      <c r="I38" s="13" t="s">
        <v>169</v>
      </c>
      <c r="J38" s="13" t="s">
        <v>169</v>
      </c>
      <c r="K38" s="13" t="s">
        <v>169</v>
      </c>
      <c r="L38" s="13" t="s">
        <v>169</v>
      </c>
      <c r="M38" s="13" t="s">
        <v>169</v>
      </c>
      <c r="N38" s="13" t="s">
        <v>169</v>
      </c>
      <c r="O38" s="13" t="s">
        <v>169</v>
      </c>
      <c r="P38" s="13" t="s">
        <v>169</v>
      </c>
      <c r="Q38" s="13" t="s">
        <v>169</v>
      </c>
      <c r="R38" s="13" t="s">
        <v>169</v>
      </c>
      <c r="S38" s="13" t="s">
        <v>169</v>
      </c>
    </row>
    <row r="39" spans="1:19" s="28" customFormat="1" ht="30" customHeight="1" x14ac:dyDescent="0.25">
      <c r="A39" s="30" t="s">
        <v>125</v>
      </c>
      <c r="B39" s="8" t="s">
        <v>239</v>
      </c>
      <c r="C39" s="4">
        <v>7</v>
      </c>
      <c r="D39" s="4" t="s">
        <v>178</v>
      </c>
      <c r="E39" s="4"/>
      <c r="F39" s="13" t="s">
        <v>126</v>
      </c>
      <c r="G39" s="13" t="s">
        <v>170</v>
      </c>
      <c r="H39" s="13" t="s">
        <v>169</v>
      </c>
      <c r="I39" s="13" t="s">
        <v>169</v>
      </c>
      <c r="J39" s="13" t="s">
        <v>169</v>
      </c>
      <c r="K39" s="13" t="s">
        <v>169</v>
      </c>
      <c r="L39" s="13" t="s">
        <v>169</v>
      </c>
      <c r="M39" s="13" t="s">
        <v>169</v>
      </c>
      <c r="N39" s="13" t="s">
        <v>169</v>
      </c>
      <c r="O39" s="13" t="s">
        <v>169</v>
      </c>
      <c r="P39" s="13" t="s">
        <v>169</v>
      </c>
      <c r="Q39" s="13" t="s">
        <v>169</v>
      </c>
      <c r="R39" s="13" t="s">
        <v>169</v>
      </c>
      <c r="S39" s="13" t="s">
        <v>169</v>
      </c>
    </row>
    <row r="40" spans="1:19" s="28" customFormat="1" ht="30" customHeight="1" x14ac:dyDescent="0.25">
      <c r="A40" s="30" t="s">
        <v>127</v>
      </c>
      <c r="B40" s="17" t="s">
        <v>128</v>
      </c>
      <c r="C40" s="4">
        <v>10</v>
      </c>
      <c r="D40" s="4" t="s">
        <v>181</v>
      </c>
      <c r="E40" s="4"/>
      <c r="F40" s="13" t="s">
        <v>302</v>
      </c>
      <c r="G40" s="13" t="s">
        <v>170</v>
      </c>
      <c r="H40" s="18" t="s">
        <v>169</v>
      </c>
      <c r="I40" s="18" t="s">
        <v>169</v>
      </c>
      <c r="J40" s="18" t="s">
        <v>169</v>
      </c>
      <c r="K40" s="18" t="s">
        <v>169</v>
      </c>
      <c r="L40" s="18" t="s">
        <v>170</v>
      </c>
      <c r="M40" s="18" t="s">
        <v>169</v>
      </c>
      <c r="N40" s="18" t="s">
        <v>169</v>
      </c>
      <c r="O40" s="18" t="s">
        <v>169</v>
      </c>
      <c r="P40" s="18" t="s">
        <v>169</v>
      </c>
      <c r="Q40" s="18" t="s">
        <v>169</v>
      </c>
      <c r="R40" s="18" t="s">
        <v>169</v>
      </c>
      <c r="S40" s="18" t="s">
        <v>169</v>
      </c>
    </row>
    <row r="41" spans="1:19" s="28" customFormat="1" ht="30" customHeight="1" x14ac:dyDescent="0.25">
      <c r="A41" s="30" t="s">
        <v>129</v>
      </c>
      <c r="B41" s="17" t="s">
        <v>130</v>
      </c>
      <c r="C41" s="4">
        <v>10</v>
      </c>
      <c r="D41" s="4" t="s">
        <v>181</v>
      </c>
      <c r="E41" s="4"/>
      <c r="F41" s="13" t="s">
        <v>302</v>
      </c>
      <c r="G41" s="18" t="s">
        <v>169</v>
      </c>
      <c r="H41" s="18" t="s">
        <v>169</v>
      </c>
      <c r="I41" s="18" t="s">
        <v>169</v>
      </c>
      <c r="J41" s="18" t="s">
        <v>169</v>
      </c>
      <c r="K41" s="18" t="s">
        <v>169</v>
      </c>
      <c r="L41" s="18" t="s">
        <v>169</v>
      </c>
      <c r="M41" s="18" t="s">
        <v>169</v>
      </c>
      <c r="N41" s="18" t="s">
        <v>169</v>
      </c>
      <c r="O41" s="18" t="s">
        <v>169</v>
      </c>
      <c r="P41" s="18" t="s">
        <v>170</v>
      </c>
      <c r="Q41" s="18" t="s">
        <v>169</v>
      </c>
      <c r="R41" s="18" t="s">
        <v>169</v>
      </c>
      <c r="S41" s="18" t="s">
        <v>169</v>
      </c>
    </row>
    <row r="42" spans="1:19" s="28" customFormat="1" ht="30" customHeight="1" x14ac:dyDescent="0.25">
      <c r="A42" s="80" t="s">
        <v>271</v>
      </c>
      <c r="B42" s="40" t="s">
        <v>272</v>
      </c>
      <c r="C42" s="41">
        <v>10</v>
      </c>
      <c r="D42" s="4" t="s">
        <v>181</v>
      </c>
      <c r="E42" s="41"/>
      <c r="F42" s="13" t="s">
        <v>169</v>
      </c>
      <c r="G42" s="44"/>
      <c r="H42" s="44"/>
      <c r="I42" s="44"/>
      <c r="J42" s="44"/>
      <c r="K42" s="44"/>
      <c r="L42" s="44" t="s">
        <v>170</v>
      </c>
      <c r="M42" s="44"/>
      <c r="N42" s="44"/>
      <c r="O42" s="44"/>
      <c r="P42" s="44" t="s">
        <v>170</v>
      </c>
      <c r="Q42" s="44"/>
      <c r="R42" s="44"/>
      <c r="S42" s="44"/>
    </row>
  </sheetData>
  <autoFilter ref="A1:S19" xr:uid="{879CC6BF-DA14-4068-B0CE-7832347512F9}">
    <sortState xmlns:xlrd2="http://schemas.microsoft.com/office/spreadsheetml/2017/richdata2" ref="A2:S19">
      <sortCondition ref="H1:H19"/>
    </sortState>
  </autoFilter>
  <hyperlinks>
    <hyperlink ref="B2" r:id="rId1" display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xr:uid="{8BE203A1-91A5-42AC-81EA-2924631D4092}"/>
    <hyperlink ref="B10" r:id="rId2" display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xr:uid="{36EC9709-965B-4DF1-BD9A-4DD5D21D4C90}"/>
    <hyperlink ref="B8" r:id="rId3" display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xr:uid="{D3689AB6-C0E0-4486-B1A5-8CE8D4E4DFE3}"/>
    <hyperlink ref="B30" r:id="rId4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EB75B433-3256-4573-B81F-E335708BF797}"/>
    <hyperlink ref="B11" r:id="rId5" xr:uid="{FF4D6478-D239-466E-A203-2B5A73B617E5}"/>
    <hyperlink ref="B13" r:id="rId6" xr:uid="{B35CF78C-E648-4A4D-B1EE-360B34C61925}"/>
    <hyperlink ref="B14" r:id="rId7" xr:uid="{3B9AED59-1921-4BFF-899E-1851A134FFC9}"/>
    <hyperlink ref="B16" r:id="rId8" xr:uid="{9E20CE1C-BA98-4073-850C-836FEDB669FC}"/>
    <hyperlink ref="B17" r:id="rId9" xr:uid="{72623865-5534-4993-8905-85AA46E5FAA7}"/>
    <hyperlink ref="B26" r:id="rId10" xr:uid="{7E82E0C9-49E3-4845-8923-10627446D43E}"/>
    <hyperlink ref="B25" r:id="rId11" xr:uid="{3F979A76-9D2C-442D-97EC-7AA28A0D4C08}"/>
    <hyperlink ref="B24" r:id="rId12" xr:uid="{3766E4FA-A1C8-4227-82EE-ADBC4F5FC9A2}"/>
    <hyperlink ref="B23" r:id="rId13" xr:uid="{46B58FF5-131D-451C-A9EE-81C194D8A48F}"/>
    <hyperlink ref="B22" r:id="rId14" xr:uid="{80D4F7A3-8F6A-48BC-81A3-E2008521BBC9}"/>
    <hyperlink ref="B21" r:id="rId15" xr:uid="{6177523E-B406-4F42-B25F-CBD8401236A2}"/>
    <hyperlink ref="B20" r:id="rId16" xr:uid="{DE2E8BDE-FF35-466D-BB0D-DE34AA643660}"/>
    <hyperlink ref="B27" r:id="rId17" xr:uid="{9E575A25-A38F-4F14-B16C-2F4B39999324}"/>
    <hyperlink ref="B29" r:id="rId18" xr:uid="{FE81F494-2E84-4829-9066-760343610C03}"/>
    <hyperlink ref="B31" r:id="rId19" xr:uid="{6826D98C-167D-408C-8D11-5A8BA6ABE9E1}"/>
    <hyperlink ref="B32" r:id="rId20" xr:uid="{81B91BFC-15BA-4342-AFC1-AF7F63E1641D}"/>
    <hyperlink ref="B9" r:id="rId21" xr:uid="{1EEF6F5B-1AF5-4A96-9E54-0D423353473B}"/>
    <hyperlink ref="B37" r:id="rId22" xr:uid="{DF0D1DF6-D1F3-40CA-BDDD-968C01F1832C}"/>
    <hyperlink ref="B33" r:id="rId23" xr:uid="{B7376BE9-2192-4BAE-B1D2-0654048076D5}"/>
    <hyperlink ref="B34" r:id="rId24" xr:uid="{18E3B2E9-7076-474B-91C9-9ADE84DD7BA4}"/>
    <hyperlink ref="B35" r:id="rId25" xr:uid="{AF9DB53F-7E7A-445B-B768-213F03AB72B6}"/>
    <hyperlink ref="B36" r:id="rId26" display="IHG53503" xr:uid="{CF408240-DA54-4D3D-95B3-EB0D1560D566}"/>
    <hyperlink ref="B40" r:id="rId27" xr:uid="{8AA6044B-7C56-492C-8937-1E8676C0B37D}"/>
    <hyperlink ref="B41" r:id="rId28" xr:uid="{0E596DE2-BD7D-4F21-B52E-EFFF529012C7}"/>
    <hyperlink ref="B18" r:id="rId29" xr:uid="{AFFAE9BB-4EBB-4681-A12B-410748929DAC}"/>
    <hyperlink ref="B19" r:id="rId30" xr:uid="{6AAEA3FC-76F3-4CE9-94C2-440EBEAFCF7D}"/>
    <hyperlink ref="B38" r:id="rId31" xr:uid="{198C965B-41AE-4364-95AF-EDEA18AEC916}"/>
    <hyperlink ref="B39" r:id="rId32" xr:uid="{1A5DE2AA-DAD5-4CF6-ACDF-3D93EAD10344}"/>
    <hyperlink ref="B42" r:id="rId33" xr:uid="{8BC5E021-33F7-4801-B276-86B5C517B06A}"/>
    <hyperlink ref="B28" r:id="rId34" xr:uid="{1EC628B4-F318-4C09-94F1-15A2E8AF9193}"/>
    <hyperlink ref="B7" r:id="rId35" display="Hotel Experience Champion Guide" xr:uid="{17C894C8-CA23-4932-A68E-A13C905B60AB}"/>
    <hyperlink ref="B3" r:id="rId36" display="Managed Hotel - Leaders Guide" xr:uid="{521D6D1B-7662-44D5-A62C-166255222192}"/>
    <hyperlink ref="B4" r:id="rId37" xr:uid="{E4E84B21-5231-4699-914B-0C6D6D3DDD90}"/>
    <hyperlink ref="B5" r:id="rId38" xr:uid="{E661F82F-BE22-4EA6-902D-57B8CA1E829B}"/>
    <hyperlink ref="B6" r:id="rId39" xr:uid="{A066F7F5-E375-4296-AA9C-D75132A9D46C}"/>
    <hyperlink ref="B12" r:id="rId40" xr:uid="{F32CE97C-63C7-4742-89C8-8B9B60E53C09}"/>
    <hyperlink ref="B15" r:id="rId41" xr:uid="{D78FD9DE-A9FC-423C-9AD8-40B21CA7596E}"/>
  </hyperlinks>
  <pageMargins left="0.7" right="0.7" top="0.75" bottom="0.75" header="0.3" footer="0.3"/>
  <pageSetup orientation="portrait" r:id="rId4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CC6BF-DA14-4068-B0CE-7832347512F9}">
  <sheetPr codeName="Sheet2">
    <tabColor rgb="FF002D72"/>
  </sheetPr>
  <dimension ref="A1:X43"/>
  <sheetViews>
    <sheetView zoomScale="85" zoomScaleNormal="85" workbookViewId="0">
      <pane ySplit="1" topLeftCell="A23" activePane="bottomLeft" state="frozen"/>
      <selection activeCell="B1" sqref="B1:B1048576"/>
      <selection pane="bottomLeft" activeCell="A41" sqref="A41"/>
    </sheetView>
  </sheetViews>
  <sheetFormatPr defaultRowHeight="30" customHeight="1" x14ac:dyDescent="0.25"/>
  <cols>
    <col min="1" max="1" width="48.7109375" style="76" customWidth="1"/>
    <col min="2" max="2" width="16.7109375" style="78" customWidth="1"/>
    <col min="3" max="5" width="22.7109375" style="9" customWidth="1"/>
    <col min="6" max="6" width="31.7109375" style="78" customWidth="1"/>
    <col min="7" max="19" width="19.5703125" style="28" customWidth="1"/>
    <col min="20" max="24" width="9.140625" style="28"/>
    <col min="25" max="16384" width="9.140625" style="24"/>
  </cols>
  <sheetData>
    <row r="1" spans="1:19" ht="30" customHeight="1" x14ac:dyDescent="0.25">
      <c r="A1" s="33" t="s">
        <v>3</v>
      </c>
      <c r="B1" s="13" t="s">
        <v>50</v>
      </c>
      <c r="C1" s="4" t="s">
        <v>182</v>
      </c>
      <c r="D1" s="4" t="s">
        <v>183</v>
      </c>
      <c r="E1" s="4" t="s">
        <v>184</v>
      </c>
      <c r="F1" s="13" t="s">
        <v>51</v>
      </c>
      <c r="G1" s="13" t="s">
        <v>52</v>
      </c>
      <c r="H1" s="13" t="s">
        <v>53</v>
      </c>
      <c r="I1" s="13" t="s">
        <v>54</v>
      </c>
      <c r="J1" s="13" t="s">
        <v>55</v>
      </c>
      <c r="K1" s="13" t="s">
        <v>56</v>
      </c>
      <c r="L1" s="13" t="s">
        <v>57</v>
      </c>
      <c r="M1" s="13" t="s">
        <v>58</v>
      </c>
      <c r="N1" s="13" t="s">
        <v>59</v>
      </c>
      <c r="O1" s="13" t="s">
        <v>60</v>
      </c>
      <c r="P1" s="13" t="s">
        <v>61</v>
      </c>
      <c r="Q1" s="13" t="s">
        <v>62</v>
      </c>
      <c r="R1" s="13" t="s">
        <v>63</v>
      </c>
      <c r="S1" s="13" t="s">
        <v>64</v>
      </c>
    </row>
    <row r="2" spans="1:19" ht="30" customHeight="1" x14ac:dyDescent="0.25">
      <c r="A2" s="30" t="s">
        <v>65</v>
      </c>
      <c r="B2" s="12" t="s">
        <v>66</v>
      </c>
      <c r="C2" s="4">
        <v>3</v>
      </c>
      <c r="D2" s="4" t="s">
        <v>174</v>
      </c>
      <c r="E2" s="4"/>
      <c r="F2" s="13" t="s">
        <v>294</v>
      </c>
      <c r="G2" s="13" t="s">
        <v>170</v>
      </c>
      <c r="H2" s="13" t="s">
        <v>170</v>
      </c>
      <c r="I2" s="13" t="s">
        <v>170</v>
      </c>
      <c r="J2" s="13" t="s">
        <v>170</v>
      </c>
      <c r="K2" s="13" t="s">
        <v>170</v>
      </c>
      <c r="L2" s="13" t="s">
        <v>170</v>
      </c>
      <c r="M2" s="13" t="s">
        <v>170</v>
      </c>
      <c r="N2" s="13" t="s">
        <v>170</v>
      </c>
      <c r="O2" s="13" t="s">
        <v>170</v>
      </c>
      <c r="P2" s="13" t="s">
        <v>170</v>
      </c>
      <c r="Q2" s="13" t="s">
        <v>170</v>
      </c>
      <c r="R2" s="13" t="s">
        <v>170</v>
      </c>
      <c r="S2" s="13" t="s">
        <v>170</v>
      </c>
    </row>
    <row r="3" spans="1:19" ht="30" customHeight="1" x14ac:dyDescent="0.25">
      <c r="A3" s="33" t="s">
        <v>67</v>
      </c>
      <c r="B3" s="12" t="s">
        <v>68</v>
      </c>
      <c r="C3" s="4">
        <v>3</v>
      </c>
      <c r="D3" s="4" t="s">
        <v>174</v>
      </c>
      <c r="E3" s="4"/>
      <c r="F3" s="13" t="s">
        <v>306</v>
      </c>
      <c r="G3" s="13" t="s">
        <v>170</v>
      </c>
      <c r="H3" s="13" t="s">
        <v>170</v>
      </c>
      <c r="I3" s="13" t="s">
        <v>170</v>
      </c>
      <c r="J3" s="13" t="s">
        <v>170</v>
      </c>
      <c r="K3" s="13" t="s">
        <v>170</v>
      </c>
      <c r="L3" s="13" t="s">
        <v>170</v>
      </c>
      <c r="M3" s="13" t="s">
        <v>170</v>
      </c>
      <c r="N3" s="13" t="s">
        <v>170</v>
      </c>
      <c r="O3" s="13" t="s">
        <v>170</v>
      </c>
      <c r="P3" s="13" t="s">
        <v>170</v>
      </c>
      <c r="Q3" s="13" t="s">
        <v>170</v>
      </c>
      <c r="R3" s="13" t="s">
        <v>170</v>
      </c>
      <c r="S3" s="13" t="s">
        <v>170</v>
      </c>
    </row>
    <row r="4" spans="1:19" ht="30" customHeight="1" x14ac:dyDescent="0.25">
      <c r="A4" s="33" t="s">
        <v>292</v>
      </c>
      <c r="B4" s="16" t="s">
        <v>286</v>
      </c>
      <c r="C4" s="4">
        <v>3</v>
      </c>
      <c r="D4" s="4" t="s">
        <v>174</v>
      </c>
      <c r="E4" s="4"/>
      <c r="F4" s="13" t="s">
        <v>290</v>
      </c>
      <c r="G4" s="13" t="s">
        <v>170</v>
      </c>
      <c r="H4" s="13" t="s">
        <v>170</v>
      </c>
      <c r="I4" s="13" t="s">
        <v>170</v>
      </c>
      <c r="J4" s="13" t="s">
        <v>170</v>
      </c>
      <c r="K4" s="13" t="s">
        <v>170</v>
      </c>
      <c r="L4" s="13" t="s">
        <v>170</v>
      </c>
      <c r="M4" s="13" t="s">
        <v>170</v>
      </c>
      <c r="N4" s="13"/>
      <c r="O4" s="13"/>
      <c r="P4" s="13"/>
      <c r="Q4" s="13"/>
      <c r="R4" s="13" t="s">
        <v>170</v>
      </c>
      <c r="S4" s="13"/>
    </row>
    <row r="5" spans="1:19" ht="30" customHeight="1" x14ac:dyDescent="0.25">
      <c r="A5" s="33" t="s">
        <v>292</v>
      </c>
      <c r="B5" s="16" t="s">
        <v>287</v>
      </c>
      <c r="C5" s="4">
        <v>3</v>
      </c>
      <c r="D5" s="4" t="s">
        <v>174</v>
      </c>
      <c r="E5" s="4"/>
      <c r="F5" s="13" t="s">
        <v>290</v>
      </c>
      <c r="G5" s="13"/>
      <c r="H5" s="13"/>
      <c r="I5" s="13"/>
      <c r="J5" s="13"/>
      <c r="K5" s="13"/>
      <c r="L5" s="13"/>
      <c r="M5" s="13"/>
      <c r="N5" s="13" t="s">
        <v>170</v>
      </c>
      <c r="O5" s="13" t="s">
        <v>170</v>
      </c>
      <c r="P5" s="13" t="s">
        <v>170</v>
      </c>
      <c r="Q5" s="13" t="s">
        <v>170</v>
      </c>
      <c r="R5" s="13"/>
      <c r="S5" s="13" t="s">
        <v>170</v>
      </c>
    </row>
    <row r="6" spans="1:19" ht="30" customHeight="1" x14ac:dyDescent="0.25">
      <c r="A6" s="33" t="s">
        <v>293</v>
      </c>
      <c r="B6" s="16" t="s">
        <v>288</v>
      </c>
      <c r="C6" s="4">
        <v>3</v>
      </c>
      <c r="D6" s="4" t="s">
        <v>174</v>
      </c>
      <c r="E6" s="4"/>
      <c r="F6" s="13" t="s">
        <v>291</v>
      </c>
      <c r="G6" s="13" t="s">
        <v>170</v>
      </c>
      <c r="H6" s="13" t="s">
        <v>170</v>
      </c>
      <c r="I6" s="13" t="s">
        <v>170</v>
      </c>
      <c r="J6" s="13" t="s">
        <v>170</v>
      </c>
      <c r="K6" s="13" t="s">
        <v>170</v>
      </c>
      <c r="L6" s="13" t="s">
        <v>170</v>
      </c>
      <c r="M6" s="13" t="s">
        <v>170</v>
      </c>
      <c r="N6" s="13"/>
      <c r="O6" s="13"/>
      <c r="P6" s="13"/>
      <c r="Q6" s="13"/>
      <c r="R6" s="13" t="s">
        <v>170</v>
      </c>
      <c r="S6" s="13"/>
    </row>
    <row r="7" spans="1:19" ht="30" customHeight="1" x14ac:dyDescent="0.25">
      <c r="A7" s="33" t="s">
        <v>293</v>
      </c>
      <c r="B7" s="16" t="s">
        <v>289</v>
      </c>
      <c r="C7" s="4">
        <v>3</v>
      </c>
      <c r="D7" s="4" t="s">
        <v>174</v>
      </c>
      <c r="E7" s="4"/>
      <c r="F7" s="13" t="s">
        <v>291</v>
      </c>
      <c r="G7" s="13"/>
      <c r="H7" s="13"/>
      <c r="I7" s="13"/>
      <c r="J7" s="13"/>
      <c r="K7" s="13"/>
      <c r="L7" s="13"/>
      <c r="M7" s="13"/>
      <c r="N7" s="13" t="s">
        <v>170</v>
      </c>
      <c r="O7" s="13" t="s">
        <v>170</v>
      </c>
      <c r="P7" s="13" t="s">
        <v>170</v>
      </c>
      <c r="Q7" s="13" t="s">
        <v>170</v>
      </c>
      <c r="R7" s="13"/>
      <c r="S7" s="13" t="s">
        <v>170</v>
      </c>
    </row>
    <row r="8" spans="1:19" ht="30" customHeight="1" x14ac:dyDescent="0.25">
      <c r="A8" s="33" t="s">
        <v>69</v>
      </c>
      <c r="B8" s="16" t="s">
        <v>285</v>
      </c>
      <c r="C8" s="4">
        <v>3</v>
      </c>
      <c r="D8" s="4" t="s">
        <v>174</v>
      </c>
      <c r="E8" s="4"/>
      <c r="F8" s="4" t="s">
        <v>284</v>
      </c>
      <c r="G8" s="55" t="s">
        <v>170</v>
      </c>
      <c r="H8" s="13" t="s">
        <v>169</v>
      </c>
      <c r="I8" s="13" t="s">
        <v>169</v>
      </c>
      <c r="J8" s="13" t="s">
        <v>169</v>
      </c>
      <c r="K8" s="13" t="s">
        <v>169</v>
      </c>
      <c r="L8" s="13" t="s">
        <v>169</v>
      </c>
      <c r="M8" s="13" t="s">
        <v>169</v>
      </c>
      <c r="N8" s="13" t="s">
        <v>169</v>
      </c>
      <c r="O8" s="13" t="s">
        <v>169</v>
      </c>
      <c r="P8" s="13" t="s">
        <v>169</v>
      </c>
      <c r="Q8" s="13" t="s">
        <v>169</v>
      </c>
      <c r="R8" s="13" t="s">
        <v>169</v>
      </c>
      <c r="S8" s="13" t="s">
        <v>169</v>
      </c>
    </row>
    <row r="9" spans="1:19" ht="30" customHeight="1" x14ac:dyDescent="0.25">
      <c r="A9" s="33" t="s">
        <v>70</v>
      </c>
      <c r="B9" s="12" t="s">
        <v>71</v>
      </c>
      <c r="C9" s="4">
        <v>4</v>
      </c>
      <c r="D9" s="4" t="s">
        <v>175</v>
      </c>
      <c r="E9" s="4"/>
      <c r="F9" s="13" t="s">
        <v>295</v>
      </c>
      <c r="G9" s="13" t="s">
        <v>170</v>
      </c>
      <c r="H9" s="13" t="s">
        <v>170</v>
      </c>
      <c r="I9" s="13" t="s">
        <v>170</v>
      </c>
      <c r="J9" s="13" t="s">
        <v>170</v>
      </c>
      <c r="K9" s="13" t="s">
        <v>170</v>
      </c>
      <c r="L9" s="13" t="s">
        <v>170</v>
      </c>
      <c r="M9" s="13" t="s">
        <v>170</v>
      </c>
      <c r="N9" s="13" t="s">
        <v>169</v>
      </c>
      <c r="O9" s="13" t="s">
        <v>169</v>
      </c>
      <c r="P9" s="13" t="s">
        <v>169</v>
      </c>
      <c r="Q9" s="13" t="s">
        <v>169</v>
      </c>
      <c r="R9" s="13" t="s">
        <v>170</v>
      </c>
      <c r="S9" s="13" t="s">
        <v>169</v>
      </c>
    </row>
    <row r="10" spans="1:19" ht="30" customHeight="1" x14ac:dyDescent="0.25">
      <c r="A10" s="33" t="s">
        <v>274</v>
      </c>
      <c r="B10" s="3" t="s">
        <v>274</v>
      </c>
      <c r="C10" s="4">
        <v>10</v>
      </c>
      <c r="D10" s="4" t="s">
        <v>181</v>
      </c>
      <c r="E10" s="4"/>
      <c r="F10" s="13" t="s">
        <v>273</v>
      </c>
      <c r="G10" s="13" t="s">
        <v>170</v>
      </c>
      <c r="H10" s="13" t="s">
        <v>170</v>
      </c>
      <c r="I10" s="13" t="s">
        <v>170</v>
      </c>
      <c r="J10" s="13" t="s">
        <v>170</v>
      </c>
      <c r="K10" s="13" t="s">
        <v>170</v>
      </c>
      <c r="L10" s="13" t="s">
        <v>170</v>
      </c>
      <c r="M10" s="13" t="s">
        <v>170</v>
      </c>
      <c r="N10" s="13" t="s">
        <v>169</v>
      </c>
      <c r="O10" s="13" t="s">
        <v>169</v>
      </c>
      <c r="P10" s="13" t="s">
        <v>169</v>
      </c>
      <c r="Q10" s="13" t="s">
        <v>169</v>
      </c>
      <c r="R10" s="13" t="s">
        <v>170</v>
      </c>
      <c r="S10" s="13" t="s">
        <v>169</v>
      </c>
    </row>
    <row r="11" spans="1:19" ht="30" customHeight="1" x14ac:dyDescent="0.25">
      <c r="A11" s="33" t="s">
        <v>168</v>
      </c>
      <c r="B11" s="12" t="s">
        <v>72</v>
      </c>
      <c r="C11" s="4">
        <v>3</v>
      </c>
      <c r="D11" s="4" t="s">
        <v>174</v>
      </c>
      <c r="E11" s="4"/>
      <c r="F11" s="13" t="s">
        <v>296</v>
      </c>
      <c r="G11" s="13" t="s">
        <v>170</v>
      </c>
      <c r="H11" s="13" t="s">
        <v>170</v>
      </c>
      <c r="I11" s="13" t="s">
        <v>170</v>
      </c>
      <c r="J11" s="13" t="s">
        <v>170</v>
      </c>
      <c r="K11" s="13" t="s">
        <v>170</v>
      </c>
      <c r="L11" s="13" t="s">
        <v>170</v>
      </c>
      <c r="M11" s="13" t="s">
        <v>170</v>
      </c>
      <c r="N11" s="13" t="s">
        <v>170</v>
      </c>
      <c r="O11" s="13" t="s">
        <v>170</v>
      </c>
      <c r="P11" s="13" t="s">
        <v>170</v>
      </c>
      <c r="Q11" s="13" t="s">
        <v>170</v>
      </c>
      <c r="R11" s="13" t="s">
        <v>170</v>
      </c>
      <c r="S11" s="13" t="s">
        <v>170</v>
      </c>
    </row>
    <row r="12" spans="1:19" ht="30" customHeight="1" x14ac:dyDescent="0.25">
      <c r="A12" s="33" t="s">
        <v>73</v>
      </c>
      <c r="B12" s="17" t="s">
        <v>74</v>
      </c>
      <c r="C12" s="4">
        <v>3</v>
      </c>
      <c r="D12" s="4" t="s">
        <v>174</v>
      </c>
      <c r="E12" s="4"/>
      <c r="F12" s="13" t="s">
        <v>297</v>
      </c>
      <c r="G12" s="13" t="s">
        <v>170</v>
      </c>
      <c r="H12" s="13" t="s">
        <v>170</v>
      </c>
      <c r="I12" s="13" t="s">
        <v>170</v>
      </c>
      <c r="J12" s="13" t="s">
        <v>170</v>
      </c>
      <c r="K12" s="13" t="s">
        <v>170</v>
      </c>
      <c r="L12" s="13" t="s">
        <v>170</v>
      </c>
      <c r="M12" s="13" t="s">
        <v>170</v>
      </c>
      <c r="N12" s="13" t="s">
        <v>170</v>
      </c>
      <c r="O12" s="13" t="s">
        <v>170</v>
      </c>
      <c r="P12" s="13" t="s">
        <v>170</v>
      </c>
      <c r="Q12" s="13" t="s">
        <v>170</v>
      </c>
      <c r="R12" s="13" t="s">
        <v>170</v>
      </c>
      <c r="S12" s="13" t="s">
        <v>170</v>
      </c>
    </row>
    <row r="13" spans="1:19" ht="30" customHeight="1" x14ac:dyDescent="0.25">
      <c r="A13" s="33" t="s">
        <v>75</v>
      </c>
      <c r="B13" s="17" t="s">
        <v>76</v>
      </c>
      <c r="C13" s="4">
        <v>3</v>
      </c>
      <c r="D13" s="4" t="s">
        <v>174</v>
      </c>
      <c r="E13" s="4"/>
      <c r="F13" s="13" t="s">
        <v>297</v>
      </c>
      <c r="G13" s="13" t="s">
        <v>170</v>
      </c>
      <c r="H13" s="13" t="s">
        <v>170</v>
      </c>
      <c r="I13" s="13" t="s">
        <v>170</v>
      </c>
      <c r="J13" s="13" t="s">
        <v>170</v>
      </c>
      <c r="K13" s="13" t="s">
        <v>170</v>
      </c>
      <c r="L13" s="13" t="s">
        <v>170</v>
      </c>
      <c r="M13" s="13" t="s">
        <v>170</v>
      </c>
      <c r="N13" s="13" t="s">
        <v>169</v>
      </c>
      <c r="O13" s="13" t="s">
        <v>169</v>
      </c>
      <c r="P13" s="13" t="s">
        <v>169</v>
      </c>
      <c r="Q13" s="13" t="s">
        <v>169</v>
      </c>
      <c r="R13" s="13" t="s">
        <v>170</v>
      </c>
      <c r="S13" s="13" t="s">
        <v>169</v>
      </c>
    </row>
    <row r="14" spans="1:19" ht="30" customHeight="1" x14ac:dyDescent="0.25">
      <c r="A14" s="33" t="s">
        <v>77</v>
      </c>
      <c r="B14" s="17" t="s">
        <v>78</v>
      </c>
      <c r="C14" s="4">
        <v>3</v>
      </c>
      <c r="D14" s="4" t="s">
        <v>174</v>
      </c>
      <c r="E14" s="4"/>
      <c r="F14" s="13" t="s">
        <v>297</v>
      </c>
      <c r="G14" s="13" t="s">
        <v>170</v>
      </c>
      <c r="H14" s="13" t="s">
        <v>170</v>
      </c>
      <c r="I14" s="13" t="s">
        <v>170</v>
      </c>
      <c r="J14" s="13" t="s">
        <v>170</v>
      </c>
      <c r="K14" s="13" t="s">
        <v>170</v>
      </c>
      <c r="L14" s="13" t="s">
        <v>170</v>
      </c>
      <c r="M14" s="13" t="s">
        <v>170</v>
      </c>
      <c r="N14" s="13" t="s">
        <v>170</v>
      </c>
      <c r="O14" s="13" t="s">
        <v>170</v>
      </c>
      <c r="P14" s="13" t="s">
        <v>170</v>
      </c>
      <c r="Q14" s="13" t="s">
        <v>170</v>
      </c>
      <c r="R14" s="13" t="s">
        <v>170</v>
      </c>
      <c r="S14" s="13" t="s">
        <v>170</v>
      </c>
    </row>
    <row r="15" spans="1:19" ht="30" customHeight="1" x14ac:dyDescent="0.25">
      <c r="A15" s="33" t="s">
        <v>79</v>
      </c>
      <c r="B15" s="17" t="s">
        <v>80</v>
      </c>
      <c r="C15" s="4">
        <v>3</v>
      </c>
      <c r="D15" s="4" t="s">
        <v>174</v>
      </c>
      <c r="E15" s="4"/>
      <c r="F15" s="13" t="s">
        <v>298</v>
      </c>
      <c r="G15" s="13" t="s">
        <v>170</v>
      </c>
      <c r="H15" s="13" t="s">
        <v>170</v>
      </c>
      <c r="I15" s="13" t="s">
        <v>170</v>
      </c>
      <c r="J15" s="13" t="s">
        <v>170</v>
      </c>
      <c r="K15" s="13" t="s">
        <v>170</v>
      </c>
      <c r="L15" s="13" t="s">
        <v>170</v>
      </c>
      <c r="M15" s="13" t="s">
        <v>170</v>
      </c>
      <c r="N15" s="13" t="s">
        <v>170</v>
      </c>
      <c r="O15" s="13" t="s">
        <v>170</v>
      </c>
      <c r="P15" s="13" t="s">
        <v>170</v>
      </c>
      <c r="Q15" s="13" t="s">
        <v>170</v>
      </c>
      <c r="R15" s="13" t="s">
        <v>170</v>
      </c>
      <c r="S15" s="13" t="s">
        <v>170</v>
      </c>
    </row>
    <row r="16" spans="1:19" ht="30" customHeight="1" x14ac:dyDescent="0.25">
      <c r="A16" s="33" t="s">
        <v>216</v>
      </c>
      <c r="B16" s="17" t="s">
        <v>82</v>
      </c>
      <c r="C16" s="4">
        <v>3</v>
      </c>
      <c r="D16" s="4" t="s">
        <v>174</v>
      </c>
      <c r="E16" s="4"/>
      <c r="F16" s="13" t="s">
        <v>297</v>
      </c>
      <c r="G16" s="13" t="s">
        <v>170</v>
      </c>
      <c r="H16" s="13" t="s">
        <v>170</v>
      </c>
      <c r="I16" s="13" t="s">
        <v>170</v>
      </c>
      <c r="J16" s="13" t="s">
        <v>170</v>
      </c>
      <c r="K16" s="13" t="s">
        <v>170</v>
      </c>
      <c r="L16" s="13" t="s">
        <v>170</v>
      </c>
      <c r="M16" s="13" t="s">
        <v>170</v>
      </c>
      <c r="N16" s="13" t="s">
        <v>170</v>
      </c>
      <c r="O16" s="13" t="s">
        <v>170</v>
      </c>
      <c r="P16" s="13" t="s">
        <v>170</v>
      </c>
      <c r="Q16" s="13" t="s">
        <v>170</v>
      </c>
      <c r="R16" s="13" t="s">
        <v>170</v>
      </c>
      <c r="S16" s="13" t="s">
        <v>170</v>
      </c>
    </row>
    <row r="17" spans="1:19" ht="30" customHeight="1" x14ac:dyDescent="0.25">
      <c r="A17" s="33" t="s">
        <v>83</v>
      </c>
      <c r="B17" s="17" t="s">
        <v>84</v>
      </c>
      <c r="C17" s="4">
        <v>10</v>
      </c>
      <c r="D17" s="4" t="s">
        <v>181</v>
      </c>
      <c r="E17" s="4"/>
      <c r="F17" s="13" t="s">
        <v>304</v>
      </c>
      <c r="G17" s="13" t="s">
        <v>170</v>
      </c>
      <c r="H17" s="13" t="s">
        <v>170</v>
      </c>
      <c r="I17" s="13" t="s">
        <v>170</v>
      </c>
      <c r="J17" s="13" t="s">
        <v>170</v>
      </c>
      <c r="K17" s="13" t="s">
        <v>170</v>
      </c>
      <c r="L17" s="13" t="s">
        <v>170</v>
      </c>
      <c r="M17" s="13" t="s">
        <v>170</v>
      </c>
      <c r="N17" s="13" t="s">
        <v>170</v>
      </c>
      <c r="O17" s="13" t="s">
        <v>169</v>
      </c>
      <c r="P17" s="13" t="s">
        <v>169</v>
      </c>
      <c r="Q17" s="13" t="s">
        <v>169</v>
      </c>
      <c r="R17" s="13" t="s">
        <v>170</v>
      </c>
      <c r="S17" s="13" t="s">
        <v>170</v>
      </c>
    </row>
    <row r="18" spans="1:19" ht="30" customHeight="1" x14ac:dyDescent="0.25">
      <c r="A18" s="33" t="s">
        <v>85</v>
      </c>
      <c r="B18" s="17" t="s">
        <v>86</v>
      </c>
      <c r="C18" s="4">
        <v>10</v>
      </c>
      <c r="D18" s="4" t="s">
        <v>181</v>
      </c>
      <c r="E18" s="4"/>
      <c r="F18" s="13" t="s">
        <v>304</v>
      </c>
      <c r="G18" s="13" t="s">
        <v>170</v>
      </c>
      <c r="H18" s="13" t="s">
        <v>169</v>
      </c>
      <c r="I18" s="13" t="s">
        <v>169</v>
      </c>
      <c r="J18" s="13" t="s">
        <v>170</v>
      </c>
      <c r="K18" s="13" t="s">
        <v>169</v>
      </c>
      <c r="L18" s="13" t="s">
        <v>169</v>
      </c>
      <c r="M18" s="13" t="s">
        <v>169</v>
      </c>
      <c r="N18" s="13" t="s">
        <v>170</v>
      </c>
      <c r="O18" s="13" t="s">
        <v>169</v>
      </c>
      <c r="P18" s="13" t="s">
        <v>169</v>
      </c>
      <c r="Q18" s="13" t="s">
        <v>169</v>
      </c>
      <c r="R18" s="13" t="s">
        <v>169</v>
      </c>
      <c r="S18" s="13" t="s">
        <v>169</v>
      </c>
    </row>
    <row r="19" spans="1:19" ht="30" customHeight="1" x14ac:dyDescent="0.25">
      <c r="A19" s="33" t="s">
        <v>87</v>
      </c>
      <c r="B19" s="15" t="s">
        <v>88</v>
      </c>
      <c r="C19" s="4">
        <v>3</v>
      </c>
      <c r="D19" s="4" t="s">
        <v>174</v>
      </c>
      <c r="E19" s="4"/>
      <c r="F19" s="13" t="s">
        <v>299</v>
      </c>
      <c r="G19" s="13" t="s">
        <v>169</v>
      </c>
      <c r="H19" s="13" t="s">
        <v>169</v>
      </c>
      <c r="I19" s="13" t="s">
        <v>169</v>
      </c>
      <c r="J19" s="13" t="s">
        <v>169</v>
      </c>
      <c r="K19" s="13" t="s">
        <v>170</v>
      </c>
      <c r="L19" s="13" t="s">
        <v>169</v>
      </c>
      <c r="M19" s="13" t="s">
        <v>169</v>
      </c>
      <c r="N19" s="13" t="s">
        <v>169</v>
      </c>
      <c r="O19" s="13" t="s">
        <v>170</v>
      </c>
      <c r="P19" s="13" t="s">
        <v>170</v>
      </c>
      <c r="Q19" s="13" t="s">
        <v>169</v>
      </c>
      <c r="R19" s="13" t="s">
        <v>169</v>
      </c>
      <c r="S19" s="13" t="s">
        <v>169</v>
      </c>
    </row>
    <row r="20" spans="1:19" ht="30" customHeight="1" x14ac:dyDescent="0.25">
      <c r="A20" s="33" t="s">
        <v>89</v>
      </c>
      <c r="B20" s="16" t="s">
        <v>90</v>
      </c>
      <c r="C20" s="4">
        <v>3</v>
      </c>
      <c r="D20" s="4" t="s">
        <v>174</v>
      </c>
      <c r="E20" s="4"/>
      <c r="F20" s="13" t="s">
        <v>300</v>
      </c>
      <c r="G20" s="13" t="s">
        <v>170</v>
      </c>
      <c r="H20" s="13" t="s">
        <v>170</v>
      </c>
      <c r="I20" s="13" t="s">
        <v>170</v>
      </c>
      <c r="J20" s="13" t="s">
        <v>170</v>
      </c>
      <c r="K20" s="13" t="s">
        <v>169</v>
      </c>
      <c r="L20" s="13" t="s">
        <v>170</v>
      </c>
      <c r="M20" s="13" t="s">
        <v>170</v>
      </c>
      <c r="N20" s="13" t="s">
        <v>170</v>
      </c>
      <c r="O20" s="13" t="s">
        <v>169</v>
      </c>
      <c r="P20" s="13" t="s">
        <v>169</v>
      </c>
      <c r="Q20" s="13" t="s">
        <v>170</v>
      </c>
      <c r="R20" s="13" t="s">
        <v>170</v>
      </c>
      <c r="S20" s="13" t="s">
        <v>170</v>
      </c>
    </row>
    <row r="21" spans="1:19" ht="30" customHeight="1" x14ac:dyDescent="0.25">
      <c r="A21" s="33" t="s">
        <v>91</v>
      </c>
      <c r="B21" s="17" t="s">
        <v>92</v>
      </c>
      <c r="C21" s="4">
        <v>10</v>
      </c>
      <c r="D21" s="4" t="s">
        <v>181</v>
      </c>
      <c r="E21" s="4"/>
      <c r="F21" s="13" t="s">
        <v>304</v>
      </c>
      <c r="G21" s="13" t="s">
        <v>170</v>
      </c>
      <c r="H21" s="13" t="s">
        <v>170</v>
      </c>
      <c r="I21" s="13" t="s">
        <v>170</v>
      </c>
      <c r="J21" s="13" t="s">
        <v>170</v>
      </c>
      <c r="K21" s="13" t="s">
        <v>169</v>
      </c>
      <c r="L21" s="13" t="s">
        <v>169</v>
      </c>
      <c r="M21" s="13" t="s">
        <v>169</v>
      </c>
      <c r="N21" s="13" t="s">
        <v>169</v>
      </c>
      <c r="O21" s="13" t="s">
        <v>169</v>
      </c>
      <c r="P21" s="13" t="s">
        <v>169</v>
      </c>
      <c r="Q21" s="13" t="s">
        <v>169</v>
      </c>
      <c r="R21" s="13" t="s">
        <v>169</v>
      </c>
      <c r="S21" s="13" t="s">
        <v>169</v>
      </c>
    </row>
    <row r="22" spans="1:19" ht="30" customHeight="1" x14ac:dyDescent="0.25">
      <c r="A22" s="33" t="s">
        <v>93</v>
      </c>
      <c r="B22" s="17" t="s">
        <v>94</v>
      </c>
      <c r="C22" s="4">
        <v>10</v>
      </c>
      <c r="D22" s="4" t="s">
        <v>181</v>
      </c>
      <c r="E22" s="4"/>
      <c r="F22" s="13" t="s">
        <v>304</v>
      </c>
      <c r="G22" s="13" t="s">
        <v>170</v>
      </c>
      <c r="H22" s="13" t="s">
        <v>169</v>
      </c>
      <c r="I22" s="13" t="s">
        <v>169</v>
      </c>
      <c r="J22" s="13" t="s">
        <v>169</v>
      </c>
      <c r="K22" s="13" t="s">
        <v>169</v>
      </c>
      <c r="L22" s="13" t="s">
        <v>169</v>
      </c>
      <c r="M22" s="13" t="s">
        <v>169</v>
      </c>
      <c r="N22" s="13" t="s">
        <v>169</v>
      </c>
      <c r="O22" s="13" t="s">
        <v>169</v>
      </c>
      <c r="P22" s="13" t="s">
        <v>169</v>
      </c>
      <c r="Q22" s="13" t="s">
        <v>169</v>
      </c>
      <c r="R22" s="13" t="s">
        <v>169</v>
      </c>
      <c r="S22" s="13" t="s">
        <v>169</v>
      </c>
    </row>
    <row r="23" spans="1:19" ht="30" customHeight="1" x14ac:dyDescent="0.25">
      <c r="A23" s="33" t="s">
        <v>95</v>
      </c>
      <c r="B23" s="17" t="s">
        <v>96</v>
      </c>
      <c r="C23" s="4">
        <v>10</v>
      </c>
      <c r="D23" s="4" t="s">
        <v>181</v>
      </c>
      <c r="E23" s="4"/>
      <c r="F23" s="13" t="s">
        <v>304</v>
      </c>
      <c r="G23" s="13" t="s">
        <v>170</v>
      </c>
      <c r="H23" s="13" t="s">
        <v>169</v>
      </c>
      <c r="I23" s="13" t="s">
        <v>169</v>
      </c>
      <c r="J23" s="13" t="s">
        <v>169</v>
      </c>
      <c r="K23" s="13" t="s">
        <v>169</v>
      </c>
      <c r="L23" s="13" t="s">
        <v>169</v>
      </c>
      <c r="M23" s="13" t="s">
        <v>169</v>
      </c>
      <c r="N23" s="13" t="s">
        <v>169</v>
      </c>
      <c r="O23" s="13" t="s">
        <v>169</v>
      </c>
      <c r="P23" s="13" t="s">
        <v>169</v>
      </c>
      <c r="Q23" s="13" t="s">
        <v>169</v>
      </c>
      <c r="R23" s="13" t="s">
        <v>169</v>
      </c>
      <c r="S23" s="13" t="s">
        <v>169</v>
      </c>
    </row>
    <row r="24" spans="1:19" ht="30" customHeight="1" x14ac:dyDescent="0.25">
      <c r="A24" s="33" t="s">
        <v>97</v>
      </c>
      <c r="B24" s="17" t="s">
        <v>98</v>
      </c>
      <c r="C24" s="4">
        <v>10</v>
      </c>
      <c r="D24" s="4" t="s">
        <v>181</v>
      </c>
      <c r="E24" s="4"/>
      <c r="F24" s="13" t="s">
        <v>304</v>
      </c>
      <c r="G24" s="13" t="s">
        <v>170</v>
      </c>
      <c r="H24" s="13" t="s">
        <v>169</v>
      </c>
      <c r="I24" s="13" t="s">
        <v>169</v>
      </c>
      <c r="J24" s="13" t="s">
        <v>169</v>
      </c>
      <c r="K24" s="13" t="s">
        <v>169</v>
      </c>
      <c r="L24" s="13" t="s">
        <v>169</v>
      </c>
      <c r="M24" s="13" t="s">
        <v>169</v>
      </c>
      <c r="N24" s="13" t="s">
        <v>169</v>
      </c>
      <c r="O24" s="13" t="s">
        <v>169</v>
      </c>
      <c r="P24" s="13" t="s">
        <v>169</v>
      </c>
      <c r="Q24" s="13" t="s">
        <v>169</v>
      </c>
      <c r="R24" s="13" t="s">
        <v>169</v>
      </c>
      <c r="S24" s="13" t="s">
        <v>169</v>
      </c>
    </row>
    <row r="25" spans="1:19" ht="30" customHeight="1" x14ac:dyDescent="0.25">
      <c r="A25" s="33" t="s">
        <v>99</v>
      </c>
      <c r="B25" s="17" t="s">
        <v>100</v>
      </c>
      <c r="C25" s="4">
        <v>10</v>
      </c>
      <c r="D25" s="4" t="s">
        <v>181</v>
      </c>
      <c r="E25" s="4"/>
      <c r="F25" s="13" t="s">
        <v>304</v>
      </c>
      <c r="G25" s="13" t="s">
        <v>170</v>
      </c>
      <c r="H25" s="13" t="s">
        <v>169</v>
      </c>
      <c r="I25" s="13" t="s">
        <v>169</v>
      </c>
      <c r="J25" s="13" t="s">
        <v>169</v>
      </c>
      <c r="K25" s="13" t="s">
        <v>169</v>
      </c>
      <c r="L25" s="13" t="s">
        <v>169</v>
      </c>
      <c r="M25" s="13" t="s">
        <v>169</v>
      </c>
      <c r="N25" s="13" t="s">
        <v>169</v>
      </c>
      <c r="O25" s="13" t="s">
        <v>169</v>
      </c>
      <c r="P25" s="13" t="s">
        <v>169</v>
      </c>
      <c r="Q25" s="13" t="s">
        <v>169</v>
      </c>
      <c r="R25" s="13" t="s">
        <v>169</v>
      </c>
      <c r="S25" s="13" t="s">
        <v>169</v>
      </c>
    </row>
    <row r="26" spans="1:19" ht="30" customHeight="1" x14ac:dyDescent="0.25">
      <c r="A26" s="33" t="s">
        <v>101</v>
      </c>
      <c r="B26" s="17" t="s">
        <v>102</v>
      </c>
      <c r="C26" s="4">
        <v>10</v>
      </c>
      <c r="D26" s="4" t="s">
        <v>181</v>
      </c>
      <c r="E26" s="4"/>
      <c r="F26" s="13" t="s">
        <v>304</v>
      </c>
      <c r="G26" s="13" t="s">
        <v>170</v>
      </c>
      <c r="H26" s="13" t="s">
        <v>170</v>
      </c>
      <c r="I26" s="13" t="s">
        <v>170</v>
      </c>
      <c r="J26" s="13" t="s">
        <v>170</v>
      </c>
      <c r="K26" s="13" t="s">
        <v>169</v>
      </c>
      <c r="L26" s="13" t="s">
        <v>169</v>
      </c>
      <c r="M26" s="13" t="s">
        <v>169</v>
      </c>
      <c r="N26" s="13" t="s">
        <v>169</v>
      </c>
      <c r="O26" s="13" t="s">
        <v>169</v>
      </c>
      <c r="P26" s="13" t="s">
        <v>169</v>
      </c>
      <c r="Q26" s="13" t="s">
        <v>169</v>
      </c>
      <c r="R26" s="13" t="s">
        <v>169</v>
      </c>
      <c r="S26" s="13" t="s">
        <v>169</v>
      </c>
    </row>
    <row r="27" spans="1:19" ht="30" customHeight="1" x14ac:dyDescent="0.25">
      <c r="A27" s="33" t="s">
        <v>103</v>
      </c>
      <c r="B27" s="17" t="s">
        <v>104</v>
      </c>
      <c r="C27" s="4">
        <v>10</v>
      </c>
      <c r="D27" s="4" t="s">
        <v>181</v>
      </c>
      <c r="E27" s="4"/>
      <c r="F27" s="13" t="s">
        <v>301</v>
      </c>
      <c r="G27" s="13" t="s">
        <v>170</v>
      </c>
      <c r="H27" s="13" t="s">
        <v>170</v>
      </c>
      <c r="I27" s="13" t="s">
        <v>170</v>
      </c>
      <c r="J27" s="13" t="s">
        <v>170</v>
      </c>
      <c r="K27" s="13" t="s">
        <v>169</v>
      </c>
      <c r="L27" s="13" t="s">
        <v>169</v>
      </c>
      <c r="M27" s="13" t="s">
        <v>169</v>
      </c>
      <c r="N27" s="13" t="s">
        <v>169</v>
      </c>
      <c r="O27" s="13" t="s">
        <v>169</v>
      </c>
      <c r="P27" s="13" t="s">
        <v>169</v>
      </c>
      <c r="Q27" s="13" t="s">
        <v>169</v>
      </c>
      <c r="R27" s="13" t="s">
        <v>169</v>
      </c>
      <c r="S27" s="13" t="s">
        <v>169</v>
      </c>
    </row>
    <row r="28" spans="1:19" ht="30" customHeight="1" x14ac:dyDescent="0.25">
      <c r="A28" s="33" t="s">
        <v>105</v>
      </c>
      <c r="B28" s="17" t="s">
        <v>106</v>
      </c>
      <c r="C28" s="4">
        <v>10</v>
      </c>
      <c r="D28" s="4" t="s">
        <v>181</v>
      </c>
      <c r="E28" s="4"/>
      <c r="F28" s="13" t="s">
        <v>302</v>
      </c>
      <c r="G28" s="13" t="s">
        <v>170</v>
      </c>
      <c r="H28" s="13" t="s">
        <v>170</v>
      </c>
      <c r="I28" s="13" t="s">
        <v>169</v>
      </c>
      <c r="J28" s="13" t="s">
        <v>169</v>
      </c>
      <c r="K28" s="13" t="s">
        <v>169</v>
      </c>
      <c r="L28" s="13" t="s">
        <v>169</v>
      </c>
      <c r="M28" s="13" t="s">
        <v>169</v>
      </c>
      <c r="N28" s="13" t="s">
        <v>169</v>
      </c>
      <c r="O28" s="13" t="s">
        <v>169</v>
      </c>
      <c r="P28" s="13" t="s">
        <v>169</v>
      </c>
      <c r="Q28" s="13" t="s">
        <v>169</v>
      </c>
      <c r="R28" s="13" t="s">
        <v>169</v>
      </c>
      <c r="S28" s="13" t="s">
        <v>169</v>
      </c>
    </row>
    <row r="29" spans="1:19" ht="30" customHeight="1" x14ac:dyDescent="0.25">
      <c r="A29" s="49" t="s">
        <v>250</v>
      </c>
      <c r="B29" s="32" t="s">
        <v>251</v>
      </c>
      <c r="C29" s="4">
        <v>5</v>
      </c>
      <c r="D29" s="4" t="s">
        <v>176</v>
      </c>
      <c r="E29" s="4"/>
      <c r="F29" s="13" t="s">
        <v>303</v>
      </c>
      <c r="G29" s="13" t="s">
        <v>170</v>
      </c>
      <c r="H29" s="13" t="s">
        <v>170</v>
      </c>
      <c r="I29" s="13" t="s">
        <v>169</v>
      </c>
      <c r="J29" s="13" t="s">
        <v>169</v>
      </c>
      <c r="K29" s="13" t="s">
        <v>169</v>
      </c>
      <c r="L29" s="13" t="s">
        <v>169</v>
      </c>
      <c r="M29" s="13" t="s">
        <v>169</v>
      </c>
      <c r="N29" s="13" t="s">
        <v>169</v>
      </c>
      <c r="O29" s="13" t="s">
        <v>169</v>
      </c>
      <c r="P29" s="13" t="s">
        <v>169</v>
      </c>
      <c r="Q29" s="13" t="s">
        <v>169</v>
      </c>
      <c r="R29" s="13" t="s">
        <v>169</v>
      </c>
      <c r="S29" s="13" t="s">
        <v>169</v>
      </c>
    </row>
    <row r="30" spans="1:19" ht="30" customHeight="1" x14ac:dyDescent="0.25">
      <c r="A30" s="33" t="s">
        <v>107</v>
      </c>
      <c r="B30" s="17" t="s">
        <v>108</v>
      </c>
      <c r="C30" s="4">
        <v>10</v>
      </c>
      <c r="D30" s="4" t="s">
        <v>181</v>
      </c>
      <c r="E30" s="4"/>
      <c r="F30" s="13" t="s">
        <v>304</v>
      </c>
      <c r="G30" s="13" t="s">
        <v>170</v>
      </c>
      <c r="H30" s="13" t="s">
        <v>170</v>
      </c>
      <c r="I30" s="13" t="s">
        <v>169</v>
      </c>
      <c r="J30" s="13" t="s">
        <v>169</v>
      </c>
      <c r="K30" s="13" t="s">
        <v>169</v>
      </c>
      <c r="L30" s="13" t="s">
        <v>169</v>
      </c>
      <c r="M30" s="13" t="s">
        <v>169</v>
      </c>
      <c r="N30" s="13" t="s">
        <v>169</v>
      </c>
      <c r="O30" s="13" t="s">
        <v>169</v>
      </c>
      <c r="P30" s="13" t="s">
        <v>169</v>
      </c>
      <c r="Q30" s="13" t="s">
        <v>169</v>
      </c>
      <c r="R30" s="13" t="s">
        <v>169</v>
      </c>
      <c r="S30" s="13" t="s">
        <v>169</v>
      </c>
    </row>
    <row r="31" spans="1:19" ht="30" customHeight="1" x14ac:dyDescent="0.25">
      <c r="A31" s="33" t="s">
        <v>109</v>
      </c>
      <c r="B31" s="12" t="s">
        <v>110</v>
      </c>
      <c r="C31" s="4">
        <v>6</v>
      </c>
      <c r="D31" s="4" t="s">
        <v>177</v>
      </c>
      <c r="E31" s="4"/>
      <c r="F31" s="13" t="s">
        <v>305</v>
      </c>
      <c r="G31" s="13" t="s">
        <v>170</v>
      </c>
      <c r="H31" s="13" t="s">
        <v>170</v>
      </c>
      <c r="I31" s="13" t="s">
        <v>169</v>
      </c>
      <c r="J31" s="13" t="s">
        <v>169</v>
      </c>
      <c r="K31" s="13" t="s">
        <v>169</v>
      </c>
      <c r="L31" s="13" t="s">
        <v>169</v>
      </c>
      <c r="M31" s="13" t="s">
        <v>169</v>
      </c>
      <c r="N31" s="13" t="s">
        <v>169</v>
      </c>
      <c r="O31" s="13" t="s">
        <v>169</v>
      </c>
      <c r="P31" s="13" t="s">
        <v>169</v>
      </c>
      <c r="Q31" s="13" t="s">
        <v>169</v>
      </c>
      <c r="R31" s="13" t="s">
        <v>169</v>
      </c>
      <c r="S31" s="13" t="s">
        <v>169</v>
      </c>
    </row>
    <row r="32" spans="1:19" ht="30" customHeight="1" x14ac:dyDescent="0.25">
      <c r="A32" s="33" t="s">
        <v>111</v>
      </c>
      <c r="B32" s="17" t="s">
        <v>112</v>
      </c>
      <c r="C32" s="4">
        <v>10</v>
      </c>
      <c r="D32" s="4" t="s">
        <v>181</v>
      </c>
      <c r="E32" s="4"/>
      <c r="F32" s="13" t="s">
        <v>304</v>
      </c>
      <c r="G32" s="13" t="s">
        <v>170</v>
      </c>
      <c r="H32" s="13" t="s">
        <v>169</v>
      </c>
      <c r="I32" s="13" t="s">
        <v>170</v>
      </c>
      <c r="J32" s="13" t="s">
        <v>169</v>
      </c>
      <c r="K32" s="13" t="s">
        <v>169</v>
      </c>
      <c r="L32" s="13" t="s">
        <v>169</v>
      </c>
      <c r="M32" s="13" t="s">
        <v>169</v>
      </c>
      <c r="N32" s="13" t="s">
        <v>169</v>
      </c>
      <c r="O32" s="13" t="s">
        <v>169</v>
      </c>
      <c r="P32" s="13" t="s">
        <v>169</v>
      </c>
      <c r="Q32" s="13" t="s">
        <v>169</v>
      </c>
      <c r="R32" s="13" t="s">
        <v>169</v>
      </c>
      <c r="S32" s="13" t="s">
        <v>169</v>
      </c>
    </row>
    <row r="33" spans="1:19" ht="30" customHeight="1" x14ac:dyDescent="0.25">
      <c r="A33" s="33" t="s">
        <v>113</v>
      </c>
      <c r="B33" s="17" t="s">
        <v>114</v>
      </c>
      <c r="C33" s="4">
        <v>10</v>
      </c>
      <c r="D33" s="4" t="s">
        <v>181</v>
      </c>
      <c r="E33" s="4"/>
      <c r="F33" s="13" t="s">
        <v>304</v>
      </c>
      <c r="G33" s="13" t="s">
        <v>170</v>
      </c>
      <c r="H33" s="13" t="s">
        <v>169</v>
      </c>
      <c r="I33" s="13" t="s">
        <v>170</v>
      </c>
      <c r="J33" s="13" t="s">
        <v>169</v>
      </c>
      <c r="K33" s="13" t="s">
        <v>169</v>
      </c>
      <c r="L33" s="13" t="s">
        <v>169</v>
      </c>
      <c r="M33" s="13" t="s">
        <v>169</v>
      </c>
      <c r="N33" s="13" t="s">
        <v>169</v>
      </c>
      <c r="O33" s="13" t="s">
        <v>169</v>
      </c>
      <c r="P33" s="13" t="s">
        <v>169</v>
      </c>
      <c r="Q33" s="13" t="s">
        <v>169</v>
      </c>
      <c r="R33" s="13" t="s">
        <v>169</v>
      </c>
      <c r="S33" s="13" t="s">
        <v>169</v>
      </c>
    </row>
    <row r="34" spans="1:19" ht="30" customHeight="1" x14ac:dyDescent="0.25">
      <c r="A34" s="33" t="s">
        <v>115</v>
      </c>
      <c r="B34" s="17" t="s">
        <v>116</v>
      </c>
      <c r="C34" s="4">
        <v>10</v>
      </c>
      <c r="D34" s="4" t="s">
        <v>181</v>
      </c>
      <c r="E34" s="4"/>
      <c r="F34" s="13" t="s">
        <v>304</v>
      </c>
      <c r="G34" s="13" t="s">
        <v>170</v>
      </c>
      <c r="H34" s="13" t="s">
        <v>169</v>
      </c>
      <c r="I34" s="13" t="s">
        <v>170</v>
      </c>
      <c r="J34" s="13" t="s">
        <v>169</v>
      </c>
      <c r="K34" s="13" t="s">
        <v>169</v>
      </c>
      <c r="L34" s="13" t="s">
        <v>169</v>
      </c>
      <c r="M34" s="13" t="s">
        <v>169</v>
      </c>
      <c r="N34" s="13" t="s">
        <v>169</v>
      </c>
      <c r="O34" s="13" t="s">
        <v>169</v>
      </c>
      <c r="P34" s="13" t="s">
        <v>169</v>
      </c>
      <c r="Q34" s="13" t="s">
        <v>169</v>
      </c>
      <c r="R34" s="13" t="s">
        <v>169</v>
      </c>
      <c r="S34" s="13" t="s">
        <v>169</v>
      </c>
    </row>
    <row r="35" spans="1:19" ht="30" customHeight="1" x14ac:dyDescent="0.25">
      <c r="A35" s="33" t="s">
        <v>117</v>
      </c>
      <c r="B35" s="17" t="s">
        <v>118</v>
      </c>
      <c r="C35" s="4">
        <v>10</v>
      </c>
      <c r="D35" s="4" t="s">
        <v>181</v>
      </c>
      <c r="E35" s="4"/>
      <c r="F35" s="13" t="s">
        <v>304</v>
      </c>
      <c r="G35" s="13" t="s">
        <v>170</v>
      </c>
      <c r="H35" s="13" t="s">
        <v>169</v>
      </c>
      <c r="I35" s="13" t="s">
        <v>170</v>
      </c>
      <c r="J35" s="13" t="s">
        <v>169</v>
      </c>
      <c r="K35" s="13" t="s">
        <v>169</v>
      </c>
      <c r="L35" s="13" t="s">
        <v>169</v>
      </c>
      <c r="M35" s="13" t="s">
        <v>169</v>
      </c>
      <c r="N35" s="13" t="s">
        <v>169</v>
      </c>
      <c r="O35" s="13" t="s">
        <v>169</v>
      </c>
      <c r="P35" s="13" t="s">
        <v>169</v>
      </c>
      <c r="Q35" s="13" t="s">
        <v>169</v>
      </c>
      <c r="R35" s="13" t="s">
        <v>169</v>
      </c>
      <c r="S35" s="13" t="s">
        <v>169</v>
      </c>
    </row>
    <row r="36" spans="1:19" ht="30" customHeight="1" x14ac:dyDescent="0.25">
      <c r="A36" s="33" t="s">
        <v>119</v>
      </c>
      <c r="B36" s="17" t="s">
        <v>120</v>
      </c>
      <c r="C36" s="4">
        <v>10</v>
      </c>
      <c r="D36" s="4" t="s">
        <v>181</v>
      </c>
      <c r="E36" s="4"/>
      <c r="F36" s="13" t="s">
        <v>304</v>
      </c>
      <c r="G36" s="13" t="s">
        <v>170</v>
      </c>
      <c r="H36" s="13" t="s">
        <v>169</v>
      </c>
      <c r="I36" s="13" t="s">
        <v>170</v>
      </c>
      <c r="J36" s="13" t="s">
        <v>169</v>
      </c>
      <c r="K36" s="13" t="s">
        <v>169</v>
      </c>
      <c r="L36" s="13" t="s">
        <v>169</v>
      </c>
      <c r="M36" s="13" t="s">
        <v>169</v>
      </c>
      <c r="N36" s="13" t="s">
        <v>169</v>
      </c>
      <c r="O36" s="13" t="s">
        <v>169</v>
      </c>
      <c r="P36" s="13" t="s">
        <v>169</v>
      </c>
      <c r="Q36" s="13" t="s">
        <v>169</v>
      </c>
      <c r="R36" s="13" t="s">
        <v>169</v>
      </c>
      <c r="S36" s="13" t="s">
        <v>169</v>
      </c>
    </row>
    <row r="37" spans="1:19" ht="30" customHeight="1" x14ac:dyDescent="0.25">
      <c r="A37" s="33" t="s">
        <v>121</v>
      </c>
      <c r="B37" s="17" t="s">
        <v>307</v>
      </c>
      <c r="C37" s="4">
        <v>10</v>
      </c>
      <c r="D37" s="4" t="s">
        <v>181</v>
      </c>
      <c r="E37" s="4"/>
      <c r="F37" s="13" t="s">
        <v>304</v>
      </c>
      <c r="G37" s="13" t="s">
        <v>170</v>
      </c>
      <c r="H37" s="13" t="s">
        <v>169</v>
      </c>
      <c r="I37" s="13" t="s">
        <v>170</v>
      </c>
      <c r="J37" s="13" t="s">
        <v>169</v>
      </c>
      <c r="K37" s="13" t="s">
        <v>169</v>
      </c>
      <c r="L37" s="13" t="s">
        <v>169</v>
      </c>
      <c r="M37" s="13" t="s">
        <v>169</v>
      </c>
      <c r="N37" s="13" t="s">
        <v>169</v>
      </c>
      <c r="O37" s="13" t="s">
        <v>169</v>
      </c>
      <c r="P37" s="13" t="s">
        <v>169</v>
      </c>
      <c r="Q37" s="13" t="s">
        <v>169</v>
      </c>
      <c r="R37" s="13" t="s">
        <v>169</v>
      </c>
      <c r="S37" s="13" t="s">
        <v>169</v>
      </c>
    </row>
    <row r="38" spans="1:19" ht="30" customHeight="1" x14ac:dyDescent="0.25">
      <c r="A38" s="33" t="s">
        <v>122</v>
      </c>
      <c r="B38" s="17" t="s">
        <v>123</v>
      </c>
      <c r="C38" s="4">
        <v>5</v>
      </c>
      <c r="D38" s="4" t="s">
        <v>176</v>
      </c>
      <c r="E38" s="4"/>
      <c r="F38" s="13" t="s">
        <v>169</v>
      </c>
      <c r="G38" s="13" t="s">
        <v>169</v>
      </c>
      <c r="H38" s="13" t="s">
        <v>169</v>
      </c>
      <c r="I38" s="13" t="s">
        <v>170</v>
      </c>
      <c r="J38" s="13" t="s">
        <v>169</v>
      </c>
      <c r="K38" s="13" t="s">
        <v>169</v>
      </c>
      <c r="L38" s="13" t="s">
        <v>169</v>
      </c>
      <c r="M38" s="13" t="s">
        <v>169</v>
      </c>
      <c r="N38" s="13" t="s">
        <v>169</v>
      </c>
      <c r="O38" s="13" t="s">
        <v>169</v>
      </c>
      <c r="P38" s="13" t="s">
        <v>169</v>
      </c>
      <c r="Q38" s="13" t="s">
        <v>169</v>
      </c>
      <c r="R38" s="13" t="s">
        <v>169</v>
      </c>
      <c r="S38" s="13" t="s">
        <v>169</v>
      </c>
    </row>
    <row r="39" spans="1:19" ht="30" customHeight="1" x14ac:dyDescent="0.25">
      <c r="A39" s="30" t="s">
        <v>124</v>
      </c>
      <c r="B39" s="8" t="s">
        <v>238</v>
      </c>
      <c r="C39" s="4">
        <v>7</v>
      </c>
      <c r="D39" s="4" t="s">
        <v>178</v>
      </c>
      <c r="E39" s="4"/>
      <c r="F39" s="11" t="s">
        <v>270</v>
      </c>
      <c r="G39" s="13" t="s">
        <v>170</v>
      </c>
      <c r="H39" s="13" t="s">
        <v>169</v>
      </c>
      <c r="I39" s="13" t="s">
        <v>169</v>
      </c>
      <c r="J39" s="13" t="s">
        <v>169</v>
      </c>
      <c r="K39" s="13" t="s">
        <v>169</v>
      </c>
      <c r="L39" s="13" t="s">
        <v>169</v>
      </c>
      <c r="M39" s="13" t="s">
        <v>169</v>
      </c>
      <c r="N39" s="13" t="s">
        <v>169</v>
      </c>
      <c r="O39" s="13" t="s">
        <v>169</v>
      </c>
      <c r="P39" s="13" t="s">
        <v>169</v>
      </c>
      <c r="Q39" s="13" t="s">
        <v>169</v>
      </c>
      <c r="R39" s="13" t="s">
        <v>169</v>
      </c>
      <c r="S39" s="13" t="s">
        <v>169</v>
      </c>
    </row>
    <row r="40" spans="1:19" ht="30" customHeight="1" x14ac:dyDescent="0.25">
      <c r="A40" s="30" t="s">
        <v>125</v>
      </c>
      <c r="B40" s="8" t="s">
        <v>239</v>
      </c>
      <c r="C40" s="4">
        <v>7</v>
      </c>
      <c r="D40" s="4" t="s">
        <v>178</v>
      </c>
      <c r="E40" s="4"/>
      <c r="F40" s="13" t="s">
        <v>126</v>
      </c>
      <c r="G40" s="13" t="s">
        <v>170</v>
      </c>
      <c r="H40" s="13" t="s">
        <v>169</v>
      </c>
      <c r="I40" s="13" t="s">
        <v>169</v>
      </c>
      <c r="J40" s="13" t="s">
        <v>169</v>
      </c>
      <c r="K40" s="13" t="s">
        <v>169</v>
      </c>
      <c r="L40" s="13" t="s">
        <v>169</v>
      </c>
      <c r="M40" s="13" t="s">
        <v>169</v>
      </c>
      <c r="N40" s="13" t="s">
        <v>169</v>
      </c>
      <c r="O40" s="13" t="s">
        <v>169</v>
      </c>
      <c r="P40" s="13" t="s">
        <v>169</v>
      </c>
      <c r="Q40" s="13" t="s">
        <v>169</v>
      </c>
      <c r="R40" s="13" t="s">
        <v>169</v>
      </c>
      <c r="S40" s="13" t="s">
        <v>169</v>
      </c>
    </row>
    <row r="41" spans="1:19" ht="30" customHeight="1" x14ac:dyDescent="0.25">
      <c r="A41" s="30" t="s">
        <v>127</v>
      </c>
      <c r="B41" s="17" t="s">
        <v>128</v>
      </c>
      <c r="C41" s="4">
        <v>10</v>
      </c>
      <c r="D41" s="4" t="s">
        <v>181</v>
      </c>
      <c r="E41" s="4"/>
      <c r="F41" s="13" t="s">
        <v>302</v>
      </c>
      <c r="G41" s="13" t="s">
        <v>170</v>
      </c>
      <c r="H41" s="18" t="s">
        <v>169</v>
      </c>
      <c r="I41" s="18" t="s">
        <v>169</v>
      </c>
      <c r="J41" s="18" t="s">
        <v>169</v>
      </c>
      <c r="K41" s="18" t="s">
        <v>169</v>
      </c>
      <c r="L41" s="18" t="s">
        <v>170</v>
      </c>
      <c r="M41" s="18" t="s">
        <v>169</v>
      </c>
      <c r="N41" s="18" t="s">
        <v>169</v>
      </c>
      <c r="O41" s="18" t="s">
        <v>169</v>
      </c>
      <c r="P41" s="18" t="s">
        <v>169</v>
      </c>
      <c r="Q41" s="18" t="s">
        <v>169</v>
      </c>
      <c r="R41" s="18" t="s">
        <v>169</v>
      </c>
      <c r="S41" s="18" t="s">
        <v>169</v>
      </c>
    </row>
    <row r="42" spans="1:19" ht="30" customHeight="1" x14ac:dyDescent="0.25">
      <c r="A42" s="30" t="s">
        <v>129</v>
      </c>
      <c r="B42" s="17" t="s">
        <v>130</v>
      </c>
      <c r="C42" s="4">
        <v>10</v>
      </c>
      <c r="D42" s="4" t="s">
        <v>181</v>
      </c>
      <c r="E42" s="4"/>
      <c r="F42" s="13" t="s">
        <v>302</v>
      </c>
      <c r="G42" s="18" t="s">
        <v>169</v>
      </c>
      <c r="H42" s="18" t="s">
        <v>169</v>
      </c>
      <c r="I42" s="18" t="s">
        <v>169</v>
      </c>
      <c r="J42" s="18" t="s">
        <v>169</v>
      </c>
      <c r="K42" s="18" t="s">
        <v>169</v>
      </c>
      <c r="L42" s="18" t="s">
        <v>169</v>
      </c>
      <c r="M42" s="18" t="s">
        <v>169</v>
      </c>
      <c r="N42" s="18" t="s">
        <v>169</v>
      </c>
      <c r="O42" s="18" t="s">
        <v>169</v>
      </c>
      <c r="P42" s="18" t="s">
        <v>170</v>
      </c>
      <c r="Q42" s="18" t="s">
        <v>169</v>
      </c>
      <c r="R42" s="18" t="s">
        <v>169</v>
      </c>
      <c r="S42" s="18" t="s">
        <v>169</v>
      </c>
    </row>
    <row r="43" spans="1:19" ht="30" customHeight="1" x14ac:dyDescent="0.25">
      <c r="A43" s="80" t="s">
        <v>271</v>
      </c>
      <c r="B43" s="40" t="s">
        <v>272</v>
      </c>
      <c r="C43" s="41">
        <v>10</v>
      </c>
      <c r="D43" s="4" t="s">
        <v>181</v>
      </c>
      <c r="E43" s="41"/>
      <c r="F43" s="13" t="s">
        <v>169</v>
      </c>
      <c r="G43" s="44"/>
      <c r="H43" s="44"/>
      <c r="I43" s="44"/>
      <c r="J43" s="44"/>
      <c r="K43" s="44"/>
      <c r="L43" s="44" t="s">
        <v>170</v>
      </c>
      <c r="M43" s="44"/>
      <c r="N43" s="44"/>
      <c r="O43" s="44"/>
      <c r="P43" s="44" t="s">
        <v>170</v>
      </c>
      <c r="Q43" s="44"/>
      <c r="R43" s="44"/>
      <c r="S43" s="44"/>
    </row>
  </sheetData>
  <autoFilter ref="A1:S20" xr:uid="{879CC6BF-DA14-4068-B0CE-7832347512F9}">
    <sortState xmlns:xlrd2="http://schemas.microsoft.com/office/spreadsheetml/2017/richdata2" ref="A2:S20">
      <sortCondition ref="H1:H20"/>
    </sortState>
  </autoFilter>
  <sortState xmlns:xlrd2="http://schemas.microsoft.com/office/spreadsheetml/2017/richdata2" ref="A1:XEK1">
    <sortCondition ref="A1"/>
  </sortState>
  <hyperlinks>
    <hyperlink ref="B2" r:id="rId1" display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xr:uid="{BD263BEC-7DDE-493A-A94B-FE1D4A44A90F}"/>
    <hyperlink ref="B11" r:id="rId2" display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xr:uid="{8F56ABBF-7249-41B5-8F67-DE61512CE01E}"/>
    <hyperlink ref="B9" r:id="rId3" display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xr:uid="{B480F962-DF5C-4713-9C9C-02019E4FA2EC}"/>
    <hyperlink ref="B31" r:id="rId4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BAEBF564-311C-4181-B654-DF905DE55D71}"/>
    <hyperlink ref="B12" r:id="rId5" xr:uid="{8C026C49-E3B5-4044-AA3E-72A822113AF7}"/>
    <hyperlink ref="B14" r:id="rId6" xr:uid="{35588860-2D0D-4010-90D0-247094E04B56}"/>
    <hyperlink ref="B15" r:id="rId7" xr:uid="{8B3CEF16-0DE5-4BC4-81A7-B40C3C3F3D00}"/>
    <hyperlink ref="B17" r:id="rId8" xr:uid="{43E0C7DD-BDD0-4D0C-B1DC-2C375DA9FCF7}"/>
    <hyperlink ref="B18" r:id="rId9" xr:uid="{DF508032-2EE6-4108-A20E-0980EFAB7633}"/>
    <hyperlink ref="B27" r:id="rId10" xr:uid="{18A9E284-46F7-4BE9-B640-2BCC784A956A}"/>
    <hyperlink ref="B26" r:id="rId11" xr:uid="{CF455E62-0D7C-4F46-8F39-35E4FA445AF5}"/>
    <hyperlink ref="B25" r:id="rId12" xr:uid="{D61259BC-CB7A-4314-A746-D9B608560F86}"/>
    <hyperlink ref="B24" r:id="rId13" xr:uid="{1ED407E8-2C81-451A-AAA8-EC2008480431}"/>
    <hyperlink ref="B23" r:id="rId14" xr:uid="{1084FB9D-06E7-44C6-9A1F-C7996E6EF7EB}"/>
    <hyperlink ref="B22" r:id="rId15" xr:uid="{E354D59F-46C9-4D81-977D-915580EB9299}"/>
    <hyperlink ref="B21" r:id="rId16" xr:uid="{4097D068-3191-4D95-A5DA-E083D1A676BB}"/>
    <hyperlink ref="B28" r:id="rId17" xr:uid="{9649780A-5BE6-47C8-8C5E-2C97A7C8D7CF}"/>
    <hyperlink ref="B30" r:id="rId18" xr:uid="{98755904-BE8D-4D8A-AC54-91AD9DA098F7}"/>
    <hyperlink ref="B32" r:id="rId19" xr:uid="{E10B2A5D-8567-4522-9B59-87B2D164191E}"/>
    <hyperlink ref="B33" r:id="rId20" xr:uid="{21B43D39-7101-4C93-936F-7A95603B7919}"/>
    <hyperlink ref="B10" r:id="rId21" xr:uid="{A2F98B64-9EF4-4E0E-ACFC-B0AD192A587A}"/>
    <hyperlink ref="B38" r:id="rId22" xr:uid="{711AABF5-A65E-48C7-9F5F-D62EA6158F30}"/>
    <hyperlink ref="B34" r:id="rId23" xr:uid="{C137CC9E-9E6A-4BE9-A6A7-8D461B774052}"/>
    <hyperlink ref="B35" r:id="rId24" xr:uid="{930AE9EE-C36D-4BF2-A28A-69DFA5F4D518}"/>
    <hyperlink ref="B36" r:id="rId25" xr:uid="{7DA7EB5D-163B-469E-B5E1-BA228BB5FD50}"/>
    <hyperlink ref="B37" r:id="rId26" display="IHG53503" xr:uid="{1318B36D-A1A2-4B6E-B818-6997DD25D96C}"/>
    <hyperlink ref="B3" r:id="rId27" xr:uid="{57FF0D4D-F78C-48E6-8393-621C0C850FF1}"/>
    <hyperlink ref="B41" r:id="rId28" xr:uid="{4FB7AC03-0377-4BAB-AC83-1F21B16B75FE}"/>
    <hyperlink ref="B42" r:id="rId29" xr:uid="{C426B12B-E95F-45A4-A29E-29827686CB99}"/>
    <hyperlink ref="B19" r:id="rId30" xr:uid="{2518CA95-C1CD-4C0B-B018-1418F899BD8F}"/>
    <hyperlink ref="B20" r:id="rId31" xr:uid="{4F6E69B7-2423-4DAA-AEB4-4955271939BA}"/>
    <hyperlink ref="B39" r:id="rId32" xr:uid="{BA81B159-EEAB-4379-BE4C-160D0838E0C7}"/>
    <hyperlink ref="B40" r:id="rId33" xr:uid="{14EC0EBA-C20A-4767-884A-A5E2AD5FCF0D}"/>
    <hyperlink ref="B43" r:id="rId34" xr:uid="{880BB066-03E8-4D60-99F9-A47BCDFCDC99}"/>
    <hyperlink ref="B29" r:id="rId35" xr:uid="{02788711-28F3-45AB-AA26-E493D8FB0965}"/>
    <hyperlink ref="B8" r:id="rId36" display="Hotel Experience Champion Guide" xr:uid="{DD861557-6C09-469E-92B4-EEE5166A8170}"/>
    <hyperlink ref="B4" r:id="rId37" display="Managed Hotel - Leaders Guide" xr:uid="{E6B8E5E9-1F37-461B-A92A-EA393ADE60E5}"/>
    <hyperlink ref="B5" r:id="rId38" xr:uid="{FAD4A05E-CC3B-448A-9C77-D750AE26EA25}"/>
    <hyperlink ref="B6" r:id="rId39" xr:uid="{8C372546-DCDD-4D1D-ABCF-0BBEDD6FA7C7}"/>
    <hyperlink ref="B7" r:id="rId40" xr:uid="{273DD7CC-FDB3-4FE7-9C38-F524C323F205}"/>
    <hyperlink ref="B13" r:id="rId41" xr:uid="{9031982E-D06B-4917-AC15-49290D330D80}"/>
    <hyperlink ref="B16" r:id="rId42" xr:uid="{AC3F71C8-CDD1-4A46-B325-5ED97EE99D0D}"/>
  </hyperlinks>
  <pageMargins left="0.7" right="0.7" top="0.75" bottom="0.75" header="0.3" footer="0.3"/>
  <pageSetup orientation="portrait" r:id="rId4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08EC5-8297-4B9C-BF37-98E84251F0E8}">
  <sheetPr codeName="Sheet9">
    <tabColor rgb="FF1C4B34"/>
  </sheetPr>
  <dimension ref="A1:X46"/>
  <sheetViews>
    <sheetView zoomScale="85" zoomScaleNormal="85" workbookViewId="0">
      <pane ySplit="1" topLeftCell="A35" activePane="bottomLeft" state="frozen"/>
      <selection activeCell="B1" sqref="B1:B1048576"/>
      <selection pane="bottomLeft" activeCell="B45" sqref="B45"/>
    </sheetView>
  </sheetViews>
  <sheetFormatPr defaultRowHeight="30" customHeight="1" x14ac:dyDescent="0.25"/>
  <cols>
    <col min="1" max="1" width="48.7109375" style="38" customWidth="1"/>
    <col min="2" max="2" width="16.7109375" style="23" customWidth="1"/>
    <col min="3" max="5" width="22.7109375" style="9" customWidth="1"/>
    <col min="6" max="6" width="31.7109375" style="23" customWidth="1"/>
    <col min="7" max="19" width="19.5703125" style="28" customWidth="1"/>
    <col min="20" max="24" width="9.140625" style="28"/>
    <col min="25" max="16384" width="9.140625" style="24"/>
  </cols>
  <sheetData>
    <row r="1" spans="1:19" ht="30" customHeight="1" x14ac:dyDescent="0.25">
      <c r="A1" s="33" t="s">
        <v>7</v>
      </c>
      <c r="B1" s="13" t="s">
        <v>50</v>
      </c>
      <c r="C1" s="4" t="s">
        <v>182</v>
      </c>
      <c r="D1" s="4" t="s">
        <v>183</v>
      </c>
      <c r="E1" s="4" t="s">
        <v>184</v>
      </c>
      <c r="F1" s="13" t="s">
        <v>51</v>
      </c>
      <c r="G1" s="13" t="s">
        <v>52</v>
      </c>
      <c r="H1" s="13" t="s">
        <v>53</v>
      </c>
      <c r="I1" s="13" t="s">
        <v>54</v>
      </c>
      <c r="J1" s="13" t="s">
        <v>55</v>
      </c>
      <c r="K1" s="13" t="s">
        <v>56</v>
      </c>
      <c r="L1" s="13" t="s">
        <v>57</v>
      </c>
      <c r="M1" s="13" t="s">
        <v>58</v>
      </c>
      <c r="N1" s="13" t="s">
        <v>59</v>
      </c>
      <c r="O1" s="13" t="s">
        <v>60</v>
      </c>
      <c r="P1" s="13" t="s">
        <v>61</v>
      </c>
      <c r="Q1" s="13" t="s">
        <v>62</v>
      </c>
      <c r="R1" s="13" t="s">
        <v>63</v>
      </c>
      <c r="S1" s="13" t="s">
        <v>64</v>
      </c>
    </row>
    <row r="2" spans="1:19" ht="30" customHeight="1" x14ac:dyDescent="0.25">
      <c r="A2" s="30" t="s">
        <v>65</v>
      </c>
      <c r="B2" s="12" t="s">
        <v>66</v>
      </c>
      <c r="C2" s="4">
        <v>3</v>
      </c>
      <c r="D2" s="4" t="s">
        <v>174</v>
      </c>
      <c r="E2" s="4"/>
      <c r="F2" s="13" t="s">
        <v>294</v>
      </c>
      <c r="G2" s="13" t="s">
        <v>170</v>
      </c>
      <c r="H2" s="13" t="s">
        <v>170</v>
      </c>
      <c r="I2" s="13" t="s">
        <v>170</v>
      </c>
      <c r="J2" s="13" t="s">
        <v>170</v>
      </c>
      <c r="K2" s="13" t="s">
        <v>170</v>
      </c>
      <c r="L2" s="13" t="s">
        <v>170</v>
      </c>
      <c r="M2" s="13" t="s">
        <v>170</v>
      </c>
      <c r="N2" s="13" t="s">
        <v>170</v>
      </c>
      <c r="O2" s="13" t="s">
        <v>170</v>
      </c>
      <c r="P2" s="13" t="s">
        <v>170</v>
      </c>
      <c r="Q2" s="13" t="s">
        <v>170</v>
      </c>
      <c r="R2" s="13" t="s">
        <v>170</v>
      </c>
      <c r="S2" s="13" t="s">
        <v>170</v>
      </c>
    </row>
    <row r="3" spans="1:19" ht="30" customHeight="1" x14ac:dyDescent="0.25">
      <c r="A3" s="33" t="s">
        <v>131</v>
      </c>
      <c r="B3" s="18" t="s">
        <v>132</v>
      </c>
      <c r="C3" s="4" t="s">
        <v>169</v>
      </c>
      <c r="D3" s="4" t="s">
        <v>318</v>
      </c>
      <c r="E3" s="4"/>
      <c r="F3" s="13" t="s">
        <v>296</v>
      </c>
      <c r="G3" s="13" t="s">
        <v>170</v>
      </c>
      <c r="H3" s="13" t="s">
        <v>170</v>
      </c>
      <c r="I3" s="13" t="s">
        <v>170</v>
      </c>
      <c r="J3" s="13" t="s">
        <v>170</v>
      </c>
      <c r="K3" s="13" t="s">
        <v>170</v>
      </c>
      <c r="L3" s="13" t="s">
        <v>170</v>
      </c>
      <c r="M3" s="13" t="s">
        <v>170</v>
      </c>
      <c r="N3" s="13" t="s">
        <v>170</v>
      </c>
      <c r="O3" s="13" t="s">
        <v>170</v>
      </c>
      <c r="P3" s="13" t="s">
        <v>170</v>
      </c>
      <c r="Q3" s="13" t="s">
        <v>170</v>
      </c>
      <c r="R3" s="13" t="s">
        <v>170</v>
      </c>
      <c r="S3" s="13" t="s">
        <v>170</v>
      </c>
    </row>
    <row r="4" spans="1:19" ht="30" customHeight="1" x14ac:dyDescent="0.25">
      <c r="A4" s="33" t="s">
        <v>292</v>
      </c>
      <c r="B4" s="16" t="s">
        <v>286</v>
      </c>
      <c r="C4" s="4">
        <v>3</v>
      </c>
      <c r="D4" s="4" t="s">
        <v>174</v>
      </c>
      <c r="E4" s="4"/>
      <c r="F4" s="13" t="s">
        <v>290</v>
      </c>
      <c r="G4" s="13" t="s">
        <v>170</v>
      </c>
      <c r="H4" s="13" t="s">
        <v>170</v>
      </c>
      <c r="I4" s="13" t="s">
        <v>170</v>
      </c>
      <c r="J4" s="13" t="s">
        <v>170</v>
      </c>
      <c r="K4" s="13" t="s">
        <v>170</v>
      </c>
      <c r="L4" s="13" t="s">
        <v>170</v>
      </c>
      <c r="M4" s="13" t="s">
        <v>170</v>
      </c>
      <c r="N4" s="13"/>
      <c r="O4" s="13"/>
      <c r="P4" s="13"/>
      <c r="Q4" s="13"/>
      <c r="R4" s="13" t="s">
        <v>170</v>
      </c>
      <c r="S4" s="13"/>
    </row>
    <row r="5" spans="1:19" ht="30" customHeight="1" x14ac:dyDescent="0.25">
      <c r="A5" s="33" t="s">
        <v>292</v>
      </c>
      <c r="B5" s="16" t="s">
        <v>287</v>
      </c>
      <c r="C5" s="4">
        <v>3</v>
      </c>
      <c r="D5" s="4" t="s">
        <v>174</v>
      </c>
      <c r="E5" s="4"/>
      <c r="F5" s="13" t="s">
        <v>290</v>
      </c>
      <c r="G5" s="13"/>
      <c r="H5" s="13"/>
      <c r="I5" s="13"/>
      <c r="J5" s="13"/>
      <c r="K5" s="13"/>
      <c r="L5" s="13"/>
      <c r="M5" s="13"/>
      <c r="N5" s="13" t="s">
        <v>170</v>
      </c>
      <c r="O5" s="13" t="s">
        <v>170</v>
      </c>
      <c r="P5" s="13" t="s">
        <v>170</v>
      </c>
      <c r="Q5" s="13" t="s">
        <v>170</v>
      </c>
      <c r="R5" s="13"/>
      <c r="S5" s="13" t="s">
        <v>170</v>
      </c>
    </row>
    <row r="6" spans="1:19" ht="30" customHeight="1" x14ac:dyDescent="0.25">
      <c r="A6" s="33" t="s">
        <v>293</v>
      </c>
      <c r="B6" s="16" t="s">
        <v>288</v>
      </c>
      <c r="C6" s="4">
        <v>3</v>
      </c>
      <c r="D6" s="4" t="s">
        <v>174</v>
      </c>
      <c r="E6" s="4"/>
      <c r="F6" s="13" t="s">
        <v>291</v>
      </c>
      <c r="G6" s="13" t="s">
        <v>170</v>
      </c>
      <c r="H6" s="13" t="s">
        <v>170</v>
      </c>
      <c r="I6" s="13" t="s">
        <v>170</v>
      </c>
      <c r="J6" s="13" t="s">
        <v>170</v>
      </c>
      <c r="K6" s="13" t="s">
        <v>170</v>
      </c>
      <c r="L6" s="13" t="s">
        <v>170</v>
      </c>
      <c r="M6" s="13" t="s">
        <v>170</v>
      </c>
      <c r="N6" s="13"/>
      <c r="O6" s="13"/>
      <c r="P6" s="13"/>
      <c r="Q6" s="13"/>
      <c r="R6" s="13" t="s">
        <v>170</v>
      </c>
      <c r="S6" s="13"/>
    </row>
    <row r="7" spans="1:19" ht="30" customHeight="1" x14ac:dyDescent="0.25">
      <c r="A7" s="33" t="s">
        <v>293</v>
      </c>
      <c r="B7" s="16" t="s">
        <v>289</v>
      </c>
      <c r="C7" s="4">
        <v>3</v>
      </c>
      <c r="D7" s="4" t="s">
        <v>174</v>
      </c>
      <c r="E7" s="4"/>
      <c r="F7" s="13" t="s">
        <v>291</v>
      </c>
      <c r="G7" s="13"/>
      <c r="H7" s="13"/>
      <c r="I7" s="13"/>
      <c r="J7" s="13"/>
      <c r="K7" s="13"/>
      <c r="L7" s="13"/>
      <c r="M7" s="13"/>
      <c r="N7" s="13" t="s">
        <v>170</v>
      </c>
      <c r="O7" s="13" t="s">
        <v>170</v>
      </c>
      <c r="P7" s="13" t="s">
        <v>170</v>
      </c>
      <c r="Q7" s="13" t="s">
        <v>170</v>
      </c>
      <c r="R7" s="13"/>
      <c r="S7" s="13" t="s">
        <v>170</v>
      </c>
    </row>
    <row r="8" spans="1:19" ht="30" customHeight="1" x14ac:dyDescent="0.25">
      <c r="A8" s="33" t="s">
        <v>69</v>
      </c>
      <c r="B8" s="16" t="s">
        <v>285</v>
      </c>
      <c r="C8" s="4">
        <v>3</v>
      </c>
      <c r="D8" s="4" t="s">
        <v>174</v>
      </c>
      <c r="E8" s="4"/>
      <c r="F8" s="4" t="s">
        <v>284</v>
      </c>
      <c r="G8" s="55" t="s">
        <v>170</v>
      </c>
      <c r="H8" s="13" t="s">
        <v>169</v>
      </c>
      <c r="I8" s="13" t="s">
        <v>169</v>
      </c>
      <c r="J8" s="13" t="s">
        <v>169</v>
      </c>
      <c r="K8" s="13" t="s">
        <v>169</v>
      </c>
      <c r="L8" s="13" t="s">
        <v>169</v>
      </c>
      <c r="M8" s="13" t="s">
        <v>169</v>
      </c>
      <c r="N8" s="13" t="s">
        <v>169</v>
      </c>
      <c r="O8" s="13" t="s">
        <v>169</v>
      </c>
      <c r="P8" s="13" t="s">
        <v>169</v>
      </c>
      <c r="Q8" s="13" t="s">
        <v>169</v>
      </c>
      <c r="R8" s="13" t="s">
        <v>169</v>
      </c>
      <c r="S8" s="13" t="s">
        <v>169</v>
      </c>
    </row>
    <row r="9" spans="1:19" ht="30" customHeight="1" x14ac:dyDescent="0.25">
      <c r="A9" s="33" t="s">
        <v>70</v>
      </c>
      <c r="B9" s="12" t="s">
        <v>71</v>
      </c>
      <c r="C9" s="4">
        <v>4</v>
      </c>
      <c r="D9" s="4" t="s">
        <v>175</v>
      </c>
      <c r="E9" s="4"/>
      <c r="F9" s="13" t="s">
        <v>295</v>
      </c>
      <c r="G9" s="13" t="s">
        <v>170</v>
      </c>
      <c r="H9" s="13" t="s">
        <v>170</v>
      </c>
      <c r="I9" s="13" t="s">
        <v>170</v>
      </c>
      <c r="J9" s="13" t="s">
        <v>170</v>
      </c>
      <c r="K9" s="13" t="s">
        <v>170</v>
      </c>
      <c r="L9" s="13" t="s">
        <v>170</v>
      </c>
      <c r="M9" s="13" t="s">
        <v>170</v>
      </c>
      <c r="N9" s="13" t="s">
        <v>169</v>
      </c>
      <c r="O9" s="13" t="s">
        <v>169</v>
      </c>
      <c r="P9" s="13" t="s">
        <v>169</v>
      </c>
      <c r="Q9" s="13" t="s">
        <v>169</v>
      </c>
      <c r="R9" s="13" t="s">
        <v>170</v>
      </c>
      <c r="S9" s="13" t="s">
        <v>169</v>
      </c>
    </row>
    <row r="10" spans="1:19" ht="30" customHeight="1" x14ac:dyDescent="0.25">
      <c r="A10" s="33" t="s">
        <v>274</v>
      </c>
      <c r="B10" s="3" t="s">
        <v>274</v>
      </c>
      <c r="C10" s="4">
        <v>10</v>
      </c>
      <c r="D10" s="4" t="s">
        <v>181</v>
      </c>
      <c r="E10" s="4"/>
      <c r="F10" s="13" t="s">
        <v>273</v>
      </c>
      <c r="G10" s="13" t="s">
        <v>170</v>
      </c>
      <c r="H10" s="13" t="s">
        <v>170</v>
      </c>
      <c r="I10" s="13" t="s">
        <v>170</v>
      </c>
      <c r="J10" s="13" t="s">
        <v>170</v>
      </c>
      <c r="K10" s="13" t="s">
        <v>170</v>
      </c>
      <c r="L10" s="13" t="s">
        <v>170</v>
      </c>
      <c r="M10" s="13" t="s">
        <v>170</v>
      </c>
      <c r="N10" s="13" t="s">
        <v>169</v>
      </c>
      <c r="O10" s="13" t="s">
        <v>169</v>
      </c>
      <c r="P10" s="13" t="s">
        <v>169</v>
      </c>
      <c r="Q10" s="13" t="s">
        <v>169</v>
      </c>
      <c r="R10" s="13" t="s">
        <v>170</v>
      </c>
      <c r="S10" s="13" t="s">
        <v>169</v>
      </c>
    </row>
    <row r="11" spans="1:19" ht="30" customHeight="1" x14ac:dyDescent="0.25">
      <c r="A11" s="33" t="s">
        <v>168</v>
      </c>
      <c r="B11" s="12" t="s">
        <v>72</v>
      </c>
      <c r="C11" s="4">
        <v>3</v>
      </c>
      <c r="D11" s="4" t="s">
        <v>174</v>
      </c>
      <c r="E11" s="4"/>
      <c r="F11" s="13" t="s">
        <v>296</v>
      </c>
      <c r="G11" s="13" t="s">
        <v>170</v>
      </c>
      <c r="H11" s="13" t="s">
        <v>170</v>
      </c>
      <c r="I11" s="13" t="s">
        <v>170</v>
      </c>
      <c r="J11" s="13" t="s">
        <v>170</v>
      </c>
      <c r="K11" s="13" t="s">
        <v>170</v>
      </c>
      <c r="L11" s="13" t="s">
        <v>170</v>
      </c>
      <c r="M11" s="13" t="s">
        <v>170</v>
      </c>
      <c r="N11" s="13" t="s">
        <v>170</v>
      </c>
      <c r="O11" s="13" t="s">
        <v>170</v>
      </c>
      <c r="P11" s="13" t="s">
        <v>170</v>
      </c>
      <c r="Q11" s="13" t="s">
        <v>170</v>
      </c>
      <c r="R11" s="13" t="s">
        <v>170</v>
      </c>
      <c r="S11" s="13" t="s">
        <v>170</v>
      </c>
    </row>
    <row r="12" spans="1:19" ht="30" customHeight="1" x14ac:dyDescent="0.25">
      <c r="A12" s="33" t="s">
        <v>73</v>
      </c>
      <c r="B12" s="17" t="s">
        <v>74</v>
      </c>
      <c r="C12" s="4">
        <v>3</v>
      </c>
      <c r="D12" s="4" t="s">
        <v>174</v>
      </c>
      <c r="E12" s="4"/>
      <c r="F12" s="13" t="s">
        <v>297</v>
      </c>
      <c r="G12" s="13" t="s">
        <v>170</v>
      </c>
      <c r="H12" s="13" t="s">
        <v>170</v>
      </c>
      <c r="I12" s="13" t="s">
        <v>170</v>
      </c>
      <c r="J12" s="13" t="s">
        <v>170</v>
      </c>
      <c r="K12" s="13" t="s">
        <v>170</v>
      </c>
      <c r="L12" s="13" t="s">
        <v>170</v>
      </c>
      <c r="M12" s="13" t="s">
        <v>170</v>
      </c>
      <c r="N12" s="13" t="s">
        <v>170</v>
      </c>
      <c r="O12" s="13" t="s">
        <v>170</v>
      </c>
      <c r="P12" s="13" t="s">
        <v>170</v>
      </c>
      <c r="Q12" s="13" t="s">
        <v>170</v>
      </c>
      <c r="R12" s="13" t="s">
        <v>170</v>
      </c>
      <c r="S12" s="13" t="s">
        <v>170</v>
      </c>
    </row>
    <row r="13" spans="1:19" ht="30" customHeight="1" x14ac:dyDescent="0.25">
      <c r="A13" s="33" t="s">
        <v>75</v>
      </c>
      <c r="B13" s="17" t="s">
        <v>76</v>
      </c>
      <c r="C13" s="4">
        <v>3</v>
      </c>
      <c r="D13" s="4" t="s">
        <v>174</v>
      </c>
      <c r="E13" s="4"/>
      <c r="F13" s="13" t="s">
        <v>297</v>
      </c>
      <c r="G13" s="13" t="s">
        <v>170</v>
      </c>
      <c r="H13" s="13" t="s">
        <v>170</v>
      </c>
      <c r="I13" s="13" t="s">
        <v>170</v>
      </c>
      <c r="J13" s="13" t="s">
        <v>170</v>
      </c>
      <c r="K13" s="13" t="s">
        <v>170</v>
      </c>
      <c r="L13" s="13" t="s">
        <v>170</v>
      </c>
      <c r="M13" s="13" t="s">
        <v>170</v>
      </c>
      <c r="N13" s="13" t="s">
        <v>169</v>
      </c>
      <c r="O13" s="13" t="s">
        <v>169</v>
      </c>
      <c r="P13" s="13" t="s">
        <v>169</v>
      </c>
      <c r="Q13" s="13" t="s">
        <v>169</v>
      </c>
      <c r="R13" s="13" t="s">
        <v>170</v>
      </c>
      <c r="S13" s="13" t="s">
        <v>169</v>
      </c>
    </row>
    <row r="14" spans="1:19" ht="30" customHeight="1" x14ac:dyDescent="0.25">
      <c r="A14" s="33" t="s">
        <v>77</v>
      </c>
      <c r="B14" s="17" t="s">
        <v>78</v>
      </c>
      <c r="C14" s="4">
        <v>3</v>
      </c>
      <c r="D14" s="4" t="s">
        <v>174</v>
      </c>
      <c r="E14" s="4"/>
      <c r="F14" s="13" t="s">
        <v>297</v>
      </c>
      <c r="G14" s="13" t="s">
        <v>170</v>
      </c>
      <c r="H14" s="13" t="s">
        <v>170</v>
      </c>
      <c r="I14" s="13" t="s">
        <v>170</v>
      </c>
      <c r="J14" s="13" t="s">
        <v>170</v>
      </c>
      <c r="K14" s="13" t="s">
        <v>170</v>
      </c>
      <c r="L14" s="13" t="s">
        <v>170</v>
      </c>
      <c r="M14" s="13" t="s">
        <v>170</v>
      </c>
      <c r="N14" s="13" t="s">
        <v>170</v>
      </c>
      <c r="O14" s="13" t="s">
        <v>170</v>
      </c>
      <c r="P14" s="13" t="s">
        <v>170</v>
      </c>
      <c r="Q14" s="13" t="s">
        <v>170</v>
      </c>
      <c r="R14" s="13" t="s">
        <v>170</v>
      </c>
      <c r="S14" s="13" t="s">
        <v>170</v>
      </c>
    </row>
    <row r="15" spans="1:19" ht="30" customHeight="1" x14ac:dyDescent="0.25">
      <c r="A15" s="33" t="s">
        <v>79</v>
      </c>
      <c r="B15" s="17" t="s">
        <v>80</v>
      </c>
      <c r="C15" s="4">
        <v>3</v>
      </c>
      <c r="D15" s="4" t="s">
        <v>174</v>
      </c>
      <c r="E15" s="4"/>
      <c r="F15" s="13" t="s">
        <v>298</v>
      </c>
      <c r="G15" s="13" t="s">
        <v>170</v>
      </c>
      <c r="H15" s="13" t="s">
        <v>170</v>
      </c>
      <c r="I15" s="13" t="s">
        <v>170</v>
      </c>
      <c r="J15" s="13" t="s">
        <v>170</v>
      </c>
      <c r="K15" s="13" t="s">
        <v>170</v>
      </c>
      <c r="L15" s="13" t="s">
        <v>170</v>
      </c>
      <c r="M15" s="13" t="s">
        <v>170</v>
      </c>
      <c r="N15" s="13" t="s">
        <v>170</v>
      </c>
      <c r="O15" s="13" t="s">
        <v>170</v>
      </c>
      <c r="P15" s="13" t="s">
        <v>170</v>
      </c>
      <c r="Q15" s="13" t="s">
        <v>170</v>
      </c>
      <c r="R15" s="13" t="s">
        <v>170</v>
      </c>
      <c r="S15" s="13" t="s">
        <v>170</v>
      </c>
    </row>
    <row r="16" spans="1:19" ht="30" customHeight="1" x14ac:dyDescent="0.25">
      <c r="A16" s="33" t="s">
        <v>81</v>
      </c>
      <c r="B16" s="17" t="s">
        <v>82</v>
      </c>
      <c r="C16" s="4">
        <v>3</v>
      </c>
      <c r="D16" s="4" t="s">
        <v>174</v>
      </c>
      <c r="E16" s="4"/>
      <c r="F16" s="13" t="s">
        <v>297</v>
      </c>
      <c r="G16" s="13" t="s">
        <v>170</v>
      </c>
      <c r="H16" s="13" t="s">
        <v>170</v>
      </c>
      <c r="I16" s="13" t="s">
        <v>170</v>
      </c>
      <c r="J16" s="13" t="s">
        <v>170</v>
      </c>
      <c r="K16" s="13" t="s">
        <v>170</v>
      </c>
      <c r="L16" s="13" t="s">
        <v>170</v>
      </c>
      <c r="M16" s="13" t="s">
        <v>170</v>
      </c>
      <c r="N16" s="13" t="s">
        <v>170</v>
      </c>
      <c r="O16" s="13" t="s">
        <v>170</v>
      </c>
      <c r="P16" s="13" t="s">
        <v>170</v>
      </c>
      <c r="Q16" s="13" t="s">
        <v>170</v>
      </c>
      <c r="R16" s="13" t="s">
        <v>170</v>
      </c>
      <c r="S16" s="13" t="s">
        <v>170</v>
      </c>
    </row>
    <row r="17" spans="1:19" ht="30" customHeight="1" x14ac:dyDescent="0.25">
      <c r="A17" s="33" t="s">
        <v>83</v>
      </c>
      <c r="B17" s="17" t="s">
        <v>84</v>
      </c>
      <c r="C17" s="4">
        <v>10</v>
      </c>
      <c r="D17" s="4" t="s">
        <v>181</v>
      </c>
      <c r="E17" s="4"/>
      <c r="F17" s="13" t="s">
        <v>304</v>
      </c>
      <c r="G17" s="13" t="s">
        <v>170</v>
      </c>
      <c r="H17" s="13" t="s">
        <v>170</v>
      </c>
      <c r="I17" s="13" t="s">
        <v>170</v>
      </c>
      <c r="J17" s="13" t="s">
        <v>170</v>
      </c>
      <c r="K17" s="13" t="s">
        <v>170</v>
      </c>
      <c r="L17" s="13" t="s">
        <v>170</v>
      </c>
      <c r="M17" s="13" t="s">
        <v>170</v>
      </c>
      <c r="N17" s="13" t="s">
        <v>170</v>
      </c>
      <c r="O17" s="13" t="s">
        <v>169</v>
      </c>
      <c r="P17" s="13" t="s">
        <v>169</v>
      </c>
      <c r="Q17" s="13" t="s">
        <v>169</v>
      </c>
      <c r="R17" s="13" t="s">
        <v>170</v>
      </c>
      <c r="S17" s="13" t="s">
        <v>170</v>
      </c>
    </row>
    <row r="18" spans="1:19" ht="30" customHeight="1" x14ac:dyDescent="0.25">
      <c r="A18" s="33" t="s">
        <v>85</v>
      </c>
      <c r="B18" s="17" t="s">
        <v>86</v>
      </c>
      <c r="C18" s="4">
        <v>10</v>
      </c>
      <c r="D18" s="4" t="s">
        <v>181</v>
      </c>
      <c r="E18" s="4"/>
      <c r="F18" s="13" t="s">
        <v>304</v>
      </c>
      <c r="G18" s="13" t="s">
        <v>170</v>
      </c>
      <c r="H18" s="13" t="s">
        <v>169</v>
      </c>
      <c r="I18" s="13" t="s">
        <v>169</v>
      </c>
      <c r="J18" s="13" t="s">
        <v>170</v>
      </c>
      <c r="K18" s="13" t="s">
        <v>169</v>
      </c>
      <c r="L18" s="13" t="s">
        <v>169</v>
      </c>
      <c r="M18" s="13" t="s">
        <v>169</v>
      </c>
      <c r="N18" s="13" t="s">
        <v>170</v>
      </c>
      <c r="O18" s="13" t="s">
        <v>169</v>
      </c>
      <c r="P18" s="13" t="s">
        <v>169</v>
      </c>
      <c r="Q18" s="13" t="s">
        <v>169</v>
      </c>
      <c r="R18" s="13" t="s">
        <v>169</v>
      </c>
      <c r="S18" s="13" t="s">
        <v>169</v>
      </c>
    </row>
    <row r="19" spans="1:19" ht="30" customHeight="1" x14ac:dyDescent="0.25">
      <c r="A19" s="33" t="s">
        <v>87</v>
      </c>
      <c r="B19" s="15" t="s">
        <v>88</v>
      </c>
      <c r="C19" s="4">
        <v>3</v>
      </c>
      <c r="D19" s="4" t="s">
        <v>174</v>
      </c>
      <c r="E19" s="4"/>
      <c r="F19" s="13" t="s">
        <v>299</v>
      </c>
      <c r="G19" s="13" t="s">
        <v>169</v>
      </c>
      <c r="H19" s="13" t="s">
        <v>169</v>
      </c>
      <c r="I19" s="13" t="s">
        <v>169</v>
      </c>
      <c r="J19" s="13" t="s">
        <v>169</v>
      </c>
      <c r="K19" s="13" t="s">
        <v>170</v>
      </c>
      <c r="L19" s="13" t="s">
        <v>169</v>
      </c>
      <c r="M19" s="13" t="s">
        <v>169</v>
      </c>
      <c r="N19" s="13" t="s">
        <v>169</v>
      </c>
      <c r="O19" s="13" t="s">
        <v>170</v>
      </c>
      <c r="P19" s="13" t="s">
        <v>170</v>
      </c>
      <c r="Q19" s="13" t="s">
        <v>169</v>
      </c>
      <c r="R19" s="13" t="s">
        <v>169</v>
      </c>
      <c r="S19" s="13" t="s">
        <v>169</v>
      </c>
    </row>
    <row r="20" spans="1:19" ht="30" customHeight="1" x14ac:dyDescent="0.25">
      <c r="A20" s="33" t="s">
        <v>89</v>
      </c>
      <c r="B20" s="16" t="s">
        <v>90</v>
      </c>
      <c r="C20" s="4">
        <v>3</v>
      </c>
      <c r="D20" s="4" t="s">
        <v>174</v>
      </c>
      <c r="E20" s="4"/>
      <c r="F20" s="13" t="s">
        <v>300</v>
      </c>
      <c r="G20" s="13" t="s">
        <v>170</v>
      </c>
      <c r="H20" s="13" t="s">
        <v>170</v>
      </c>
      <c r="I20" s="13" t="s">
        <v>170</v>
      </c>
      <c r="J20" s="13" t="s">
        <v>170</v>
      </c>
      <c r="K20" s="13" t="s">
        <v>169</v>
      </c>
      <c r="L20" s="13" t="s">
        <v>170</v>
      </c>
      <c r="M20" s="13" t="s">
        <v>170</v>
      </c>
      <c r="N20" s="13" t="s">
        <v>170</v>
      </c>
      <c r="O20" s="13" t="s">
        <v>169</v>
      </c>
      <c r="P20" s="13" t="s">
        <v>169</v>
      </c>
      <c r="Q20" s="13" t="s">
        <v>170</v>
      </c>
      <c r="R20" s="13" t="s">
        <v>170</v>
      </c>
      <c r="S20" s="13" t="s">
        <v>170</v>
      </c>
    </row>
    <row r="21" spans="1:19" ht="30" customHeight="1" x14ac:dyDescent="0.25">
      <c r="A21" s="33" t="s">
        <v>91</v>
      </c>
      <c r="B21" s="17" t="s">
        <v>92</v>
      </c>
      <c r="C21" s="4">
        <v>10</v>
      </c>
      <c r="D21" s="4" t="s">
        <v>181</v>
      </c>
      <c r="E21" s="4"/>
      <c r="F21" s="13" t="s">
        <v>304</v>
      </c>
      <c r="G21" s="13" t="s">
        <v>170</v>
      </c>
      <c r="H21" s="13" t="s">
        <v>170</v>
      </c>
      <c r="I21" s="13" t="s">
        <v>170</v>
      </c>
      <c r="J21" s="13" t="s">
        <v>170</v>
      </c>
      <c r="K21" s="13" t="s">
        <v>169</v>
      </c>
      <c r="L21" s="13" t="s">
        <v>169</v>
      </c>
      <c r="M21" s="13" t="s">
        <v>169</v>
      </c>
      <c r="N21" s="13" t="s">
        <v>169</v>
      </c>
      <c r="O21" s="13" t="s">
        <v>169</v>
      </c>
      <c r="P21" s="13" t="s">
        <v>169</v>
      </c>
      <c r="Q21" s="13" t="s">
        <v>169</v>
      </c>
      <c r="R21" s="13" t="s">
        <v>169</v>
      </c>
      <c r="S21" s="13" t="s">
        <v>169</v>
      </c>
    </row>
    <row r="22" spans="1:19" ht="30" customHeight="1" x14ac:dyDescent="0.25">
      <c r="A22" s="33" t="s">
        <v>93</v>
      </c>
      <c r="B22" s="17" t="s">
        <v>94</v>
      </c>
      <c r="C22" s="4">
        <v>10</v>
      </c>
      <c r="D22" s="4" t="s">
        <v>181</v>
      </c>
      <c r="E22" s="4"/>
      <c r="F22" s="13" t="s">
        <v>304</v>
      </c>
      <c r="G22" s="13" t="s">
        <v>170</v>
      </c>
      <c r="H22" s="13" t="s">
        <v>169</v>
      </c>
      <c r="I22" s="13" t="s">
        <v>169</v>
      </c>
      <c r="J22" s="13" t="s">
        <v>169</v>
      </c>
      <c r="K22" s="13" t="s">
        <v>169</v>
      </c>
      <c r="L22" s="13" t="s">
        <v>169</v>
      </c>
      <c r="M22" s="13" t="s">
        <v>169</v>
      </c>
      <c r="N22" s="13" t="s">
        <v>169</v>
      </c>
      <c r="O22" s="13" t="s">
        <v>169</v>
      </c>
      <c r="P22" s="13" t="s">
        <v>169</v>
      </c>
      <c r="Q22" s="13" t="s">
        <v>169</v>
      </c>
      <c r="R22" s="13" t="s">
        <v>169</v>
      </c>
      <c r="S22" s="13" t="s">
        <v>169</v>
      </c>
    </row>
    <row r="23" spans="1:19" ht="30" customHeight="1" x14ac:dyDescent="0.25">
      <c r="A23" s="33" t="s">
        <v>95</v>
      </c>
      <c r="B23" s="17" t="s">
        <v>96</v>
      </c>
      <c r="C23" s="4">
        <v>10</v>
      </c>
      <c r="D23" s="4" t="s">
        <v>181</v>
      </c>
      <c r="E23" s="4"/>
      <c r="F23" s="13" t="s">
        <v>304</v>
      </c>
      <c r="G23" s="13" t="s">
        <v>170</v>
      </c>
      <c r="H23" s="13" t="s">
        <v>169</v>
      </c>
      <c r="I23" s="13" t="s">
        <v>169</v>
      </c>
      <c r="J23" s="13" t="s">
        <v>169</v>
      </c>
      <c r="K23" s="13" t="s">
        <v>169</v>
      </c>
      <c r="L23" s="13" t="s">
        <v>169</v>
      </c>
      <c r="M23" s="13" t="s">
        <v>169</v>
      </c>
      <c r="N23" s="13" t="s">
        <v>169</v>
      </c>
      <c r="O23" s="13" t="s">
        <v>169</v>
      </c>
      <c r="P23" s="13" t="s">
        <v>169</v>
      </c>
      <c r="Q23" s="13" t="s">
        <v>169</v>
      </c>
      <c r="R23" s="13" t="s">
        <v>169</v>
      </c>
      <c r="S23" s="13" t="s">
        <v>169</v>
      </c>
    </row>
    <row r="24" spans="1:19" ht="30" customHeight="1" x14ac:dyDescent="0.25">
      <c r="A24" s="33" t="s">
        <v>97</v>
      </c>
      <c r="B24" s="17" t="s">
        <v>98</v>
      </c>
      <c r="C24" s="4">
        <v>10</v>
      </c>
      <c r="D24" s="4" t="s">
        <v>181</v>
      </c>
      <c r="E24" s="4"/>
      <c r="F24" s="13" t="s">
        <v>304</v>
      </c>
      <c r="G24" s="13" t="s">
        <v>170</v>
      </c>
      <c r="H24" s="13" t="s">
        <v>169</v>
      </c>
      <c r="I24" s="13" t="s">
        <v>169</v>
      </c>
      <c r="J24" s="13" t="s">
        <v>169</v>
      </c>
      <c r="K24" s="13" t="s">
        <v>169</v>
      </c>
      <c r="L24" s="13" t="s">
        <v>169</v>
      </c>
      <c r="M24" s="13" t="s">
        <v>169</v>
      </c>
      <c r="N24" s="13" t="s">
        <v>169</v>
      </c>
      <c r="O24" s="13" t="s">
        <v>169</v>
      </c>
      <c r="P24" s="13" t="s">
        <v>169</v>
      </c>
      <c r="Q24" s="13" t="s">
        <v>169</v>
      </c>
      <c r="R24" s="13" t="s">
        <v>169</v>
      </c>
      <c r="S24" s="13" t="s">
        <v>169</v>
      </c>
    </row>
    <row r="25" spans="1:19" ht="30" customHeight="1" x14ac:dyDescent="0.25">
      <c r="A25" s="33" t="s">
        <v>99</v>
      </c>
      <c r="B25" s="17" t="s">
        <v>100</v>
      </c>
      <c r="C25" s="4">
        <v>10</v>
      </c>
      <c r="D25" s="4" t="s">
        <v>181</v>
      </c>
      <c r="E25" s="4"/>
      <c r="F25" s="13" t="s">
        <v>304</v>
      </c>
      <c r="G25" s="13" t="s">
        <v>170</v>
      </c>
      <c r="H25" s="13" t="s">
        <v>169</v>
      </c>
      <c r="I25" s="13" t="s">
        <v>169</v>
      </c>
      <c r="J25" s="13" t="s">
        <v>169</v>
      </c>
      <c r="K25" s="13" t="s">
        <v>169</v>
      </c>
      <c r="L25" s="13" t="s">
        <v>169</v>
      </c>
      <c r="M25" s="13" t="s">
        <v>169</v>
      </c>
      <c r="N25" s="13" t="s">
        <v>169</v>
      </c>
      <c r="O25" s="13" t="s">
        <v>169</v>
      </c>
      <c r="P25" s="13" t="s">
        <v>169</v>
      </c>
      <c r="Q25" s="13" t="s">
        <v>169</v>
      </c>
      <c r="R25" s="13" t="s">
        <v>169</v>
      </c>
      <c r="S25" s="13" t="s">
        <v>169</v>
      </c>
    </row>
    <row r="26" spans="1:19" ht="30" customHeight="1" x14ac:dyDescent="0.25">
      <c r="A26" s="33" t="s">
        <v>101</v>
      </c>
      <c r="B26" s="17" t="s">
        <v>102</v>
      </c>
      <c r="C26" s="4">
        <v>10</v>
      </c>
      <c r="D26" s="4" t="s">
        <v>181</v>
      </c>
      <c r="E26" s="4"/>
      <c r="F26" s="13" t="s">
        <v>304</v>
      </c>
      <c r="G26" s="13" t="s">
        <v>170</v>
      </c>
      <c r="H26" s="13" t="s">
        <v>170</v>
      </c>
      <c r="I26" s="13" t="s">
        <v>170</v>
      </c>
      <c r="J26" s="13" t="s">
        <v>170</v>
      </c>
      <c r="K26" s="13" t="s">
        <v>169</v>
      </c>
      <c r="L26" s="13" t="s">
        <v>169</v>
      </c>
      <c r="M26" s="13" t="s">
        <v>169</v>
      </c>
      <c r="N26" s="13" t="s">
        <v>169</v>
      </c>
      <c r="O26" s="13" t="s">
        <v>169</v>
      </c>
      <c r="P26" s="13" t="s">
        <v>169</v>
      </c>
      <c r="Q26" s="13" t="s">
        <v>169</v>
      </c>
      <c r="R26" s="13" t="s">
        <v>169</v>
      </c>
      <c r="S26" s="13" t="s">
        <v>169</v>
      </c>
    </row>
    <row r="27" spans="1:19" ht="30" customHeight="1" x14ac:dyDescent="0.25">
      <c r="A27" s="33" t="s">
        <v>103</v>
      </c>
      <c r="B27" s="17" t="s">
        <v>104</v>
      </c>
      <c r="C27" s="4">
        <v>10</v>
      </c>
      <c r="D27" s="4" t="s">
        <v>181</v>
      </c>
      <c r="E27" s="4"/>
      <c r="F27" s="13" t="s">
        <v>301</v>
      </c>
      <c r="G27" s="13" t="s">
        <v>170</v>
      </c>
      <c r="H27" s="13" t="s">
        <v>170</v>
      </c>
      <c r="I27" s="13" t="s">
        <v>170</v>
      </c>
      <c r="J27" s="13" t="s">
        <v>170</v>
      </c>
      <c r="K27" s="13" t="s">
        <v>169</v>
      </c>
      <c r="L27" s="13" t="s">
        <v>169</v>
      </c>
      <c r="M27" s="13" t="s">
        <v>169</v>
      </c>
      <c r="N27" s="13" t="s">
        <v>169</v>
      </c>
      <c r="O27" s="13" t="s">
        <v>169</v>
      </c>
      <c r="P27" s="13" t="s">
        <v>169</v>
      </c>
      <c r="Q27" s="13" t="s">
        <v>169</v>
      </c>
      <c r="R27" s="13" t="s">
        <v>169</v>
      </c>
      <c r="S27" s="13" t="s">
        <v>169</v>
      </c>
    </row>
    <row r="28" spans="1:19" ht="30" customHeight="1" x14ac:dyDescent="0.25">
      <c r="A28" s="33" t="s">
        <v>105</v>
      </c>
      <c r="B28" s="17" t="s">
        <v>106</v>
      </c>
      <c r="C28" s="4">
        <v>10</v>
      </c>
      <c r="D28" s="4" t="s">
        <v>181</v>
      </c>
      <c r="E28" s="4"/>
      <c r="F28" s="13" t="s">
        <v>302</v>
      </c>
      <c r="G28" s="13" t="s">
        <v>170</v>
      </c>
      <c r="H28" s="13" t="s">
        <v>170</v>
      </c>
      <c r="I28" s="13" t="s">
        <v>169</v>
      </c>
      <c r="J28" s="13" t="s">
        <v>169</v>
      </c>
      <c r="K28" s="13" t="s">
        <v>169</v>
      </c>
      <c r="L28" s="13" t="s">
        <v>169</v>
      </c>
      <c r="M28" s="13" t="s">
        <v>169</v>
      </c>
      <c r="N28" s="13" t="s">
        <v>169</v>
      </c>
      <c r="O28" s="13" t="s">
        <v>169</v>
      </c>
      <c r="P28" s="13" t="s">
        <v>169</v>
      </c>
      <c r="Q28" s="13" t="s">
        <v>169</v>
      </c>
      <c r="R28" s="13" t="s">
        <v>169</v>
      </c>
      <c r="S28" s="13" t="s">
        <v>169</v>
      </c>
    </row>
    <row r="29" spans="1:19" ht="30" customHeight="1" x14ac:dyDescent="0.25">
      <c r="A29" s="49" t="s">
        <v>250</v>
      </c>
      <c r="B29" s="32" t="s">
        <v>251</v>
      </c>
      <c r="C29" s="4">
        <v>5</v>
      </c>
      <c r="D29" s="4" t="s">
        <v>176</v>
      </c>
      <c r="E29" s="4"/>
      <c r="F29" s="13" t="s">
        <v>303</v>
      </c>
      <c r="G29" s="13" t="s">
        <v>170</v>
      </c>
      <c r="H29" s="13" t="s">
        <v>170</v>
      </c>
      <c r="I29" s="13" t="s">
        <v>169</v>
      </c>
      <c r="J29" s="13" t="s">
        <v>169</v>
      </c>
      <c r="K29" s="13" t="s">
        <v>169</v>
      </c>
      <c r="L29" s="13" t="s">
        <v>169</v>
      </c>
      <c r="M29" s="13" t="s">
        <v>169</v>
      </c>
      <c r="N29" s="13" t="s">
        <v>169</v>
      </c>
      <c r="O29" s="13" t="s">
        <v>169</v>
      </c>
      <c r="P29" s="13" t="s">
        <v>169</v>
      </c>
      <c r="Q29" s="13" t="s">
        <v>169</v>
      </c>
      <c r="R29" s="13" t="s">
        <v>169</v>
      </c>
      <c r="S29" s="13" t="s">
        <v>169</v>
      </c>
    </row>
    <row r="30" spans="1:19" ht="30" customHeight="1" x14ac:dyDescent="0.25">
      <c r="A30" s="33" t="s">
        <v>107</v>
      </c>
      <c r="B30" s="17" t="s">
        <v>108</v>
      </c>
      <c r="C30" s="4">
        <v>10</v>
      </c>
      <c r="D30" s="4" t="s">
        <v>181</v>
      </c>
      <c r="E30" s="4"/>
      <c r="F30" s="13" t="s">
        <v>304</v>
      </c>
      <c r="G30" s="13" t="s">
        <v>170</v>
      </c>
      <c r="H30" s="13" t="s">
        <v>170</v>
      </c>
      <c r="I30" s="13" t="s">
        <v>169</v>
      </c>
      <c r="J30" s="13" t="s">
        <v>169</v>
      </c>
      <c r="K30" s="13" t="s">
        <v>169</v>
      </c>
      <c r="L30" s="13" t="s">
        <v>169</v>
      </c>
      <c r="M30" s="13" t="s">
        <v>169</v>
      </c>
      <c r="N30" s="13" t="s">
        <v>169</v>
      </c>
      <c r="O30" s="13" t="s">
        <v>169</v>
      </c>
      <c r="P30" s="13" t="s">
        <v>169</v>
      </c>
      <c r="Q30" s="13" t="s">
        <v>169</v>
      </c>
      <c r="R30" s="13" t="s">
        <v>169</v>
      </c>
      <c r="S30" s="13" t="s">
        <v>169</v>
      </c>
    </row>
    <row r="31" spans="1:19" ht="30" customHeight="1" x14ac:dyDescent="0.25">
      <c r="A31" s="33" t="s">
        <v>109</v>
      </c>
      <c r="B31" s="12" t="s">
        <v>110</v>
      </c>
      <c r="C31" s="4">
        <v>6</v>
      </c>
      <c r="D31" s="4" t="s">
        <v>177</v>
      </c>
      <c r="E31" s="4"/>
      <c r="F31" s="13" t="s">
        <v>305</v>
      </c>
      <c r="G31" s="13" t="s">
        <v>170</v>
      </c>
      <c r="H31" s="13" t="s">
        <v>170</v>
      </c>
      <c r="I31" s="13" t="s">
        <v>169</v>
      </c>
      <c r="J31" s="13" t="s">
        <v>169</v>
      </c>
      <c r="K31" s="13" t="s">
        <v>169</v>
      </c>
      <c r="L31" s="13" t="s">
        <v>169</v>
      </c>
      <c r="M31" s="13" t="s">
        <v>169</v>
      </c>
      <c r="N31" s="13" t="s">
        <v>169</v>
      </c>
      <c r="O31" s="13" t="s">
        <v>169</v>
      </c>
      <c r="P31" s="13" t="s">
        <v>169</v>
      </c>
      <c r="Q31" s="13" t="s">
        <v>169</v>
      </c>
      <c r="R31" s="13" t="s">
        <v>169</v>
      </c>
      <c r="S31" s="13" t="s">
        <v>169</v>
      </c>
    </row>
    <row r="32" spans="1:19" ht="30" customHeight="1" x14ac:dyDescent="0.25">
      <c r="A32" s="33" t="s">
        <v>111</v>
      </c>
      <c r="B32" s="17" t="s">
        <v>112</v>
      </c>
      <c r="C32" s="4">
        <v>10</v>
      </c>
      <c r="D32" s="4" t="s">
        <v>181</v>
      </c>
      <c r="E32" s="4"/>
      <c r="F32" s="13" t="s">
        <v>304</v>
      </c>
      <c r="G32" s="13" t="s">
        <v>170</v>
      </c>
      <c r="H32" s="13" t="s">
        <v>169</v>
      </c>
      <c r="I32" s="13" t="s">
        <v>170</v>
      </c>
      <c r="J32" s="13" t="s">
        <v>169</v>
      </c>
      <c r="K32" s="13" t="s">
        <v>169</v>
      </c>
      <c r="L32" s="13" t="s">
        <v>169</v>
      </c>
      <c r="M32" s="13" t="s">
        <v>169</v>
      </c>
      <c r="N32" s="13" t="s">
        <v>169</v>
      </c>
      <c r="O32" s="13" t="s">
        <v>169</v>
      </c>
      <c r="P32" s="13" t="s">
        <v>169</v>
      </c>
      <c r="Q32" s="13" t="s">
        <v>169</v>
      </c>
      <c r="R32" s="13" t="s">
        <v>169</v>
      </c>
      <c r="S32" s="13" t="s">
        <v>169</v>
      </c>
    </row>
    <row r="33" spans="1:19" ht="30" customHeight="1" x14ac:dyDescent="0.25">
      <c r="A33" s="33" t="s">
        <v>113</v>
      </c>
      <c r="B33" s="17" t="s">
        <v>114</v>
      </c>
      <c r="C33" s="4">
        <v>10</v>
      </c>
      <c r="D33" s="4" t="s">
        <v>181</v>
      </c>
      <c r="E33" s="4"/>
      <c r="F33" s="13" t="s">
        <v>304</v>
      </c>
      <c r="G33" s="13" t="s">
        <v>170</v>
      </c>
      <c r="H33" s="13" t="s">
        <v>169</v>
      </c>
      <c r="I33" s="13" t="s">
        <v>170</v>
      </c>
      <c r="J33" s="13" t="s">
        <v>169</v>
      </c>
      <c r="K33" s="13" t="s">
        <v>169</v>
      </c>
      <c r="L33" s="13" t="s">
        <v>169</v>
      </c>
      <c r="M33" s="13" t="s">
        <v>169</v>
      </c>
      <c r="N33" s="13" t="s">
        <v>169</v>
      </c>
      <c r="O33" s="13" t="s">
        <v>169</v>
      </c>
      <c r="P33" s="13" t="s">
        <v>169</v>
      </c>
      <c r="Q33" s="13" t="s">
        <v>169</v>
      </c>
      <c r="R33" s="13" t="s">
        <v>169</v>
      </c>
      <c r="S33" s="13" t="s">
        <v>169</v>
      </c>
    </row>
    <row r="34" spans="1:19" ht="30" customHeight="1" x14ac:dyDescent="0.25">
      <c r="A34" s="33" t="s">
        <v>115</v>
      </c>
      <c r="B34" s="17" t="s">
        <v>116</v>
      </c>
      <c r="C34" s="4">
        <v>10</v>
      </c>
      <c r="D34" s="4" t="s">
        <v>181</v>
      </c>
      <c r="E34" s="4"/>
      <c r="F34" s="13" t="s">
        <v>304</v>
      </c>
      <c r="G34" s="13" t="s">
        <v>170</v>
      </c>
      <c r="H34" s="13" t="s">
        <v>169</v>
      </c>
      <c r="I34" s="13" t="s">
        <v>170</v>
      </c>
      <c r="J34" s="13" t="s">
        <v>169</v>
      </c>
      <c r="K34" s="13" t="s">
        <v>169</v>
      </c>
      <c r="L34" s="13" t="s">
        <v>169</v>
      </c>
      <c r="M34" s="13" t="s">
        <v>169</v>
      </c>
      <c r="N34" s="13" t="s">
        <v>169</v>
      </c>
      <c r="O34" s="13" t="s">
        <v>169</v>
      </c>
      <c r="P34" s="13" t="s">
        <v>169</v>
      </c>
      <c r="Q34" s="13" t="s">
        <v>169</v>
      </c>
      <c r="R34" s="13" t="s">
        <v>169</v>
      </c>
      <c r="S34" s="13" t="s">
        <v>169</v>
      </c>
    </row>
    <row r="35" spans="1:19" ht="30" customHeight="1" x14ac:dyDescent="0.25">
      <c r="A35" s="33" t="s">
        <v>117</v>
      </c>
      <c r="B35" s="17" t="s">
        <v>118</v>
      </c>
      <c r="C35" s="4">
        <v>10</v>
      </c>
      <c r="D35" s="4" t="s">
        <v>181</v>
      </c>
      <c r="E35" s="4"/>
      <c r="F35" s="13" t="s">
        <v>304</v>
      </c>
      <c r="G35" s="13" t="s">
        <v>170</v>
      </c>
      <c r="H35" s="13" t="s">
        <v>169</v>
      </c>
      <c r="I35" s="13" t="s">
        <v>170</v>
      </c>
      <c r="J35" s="13" t="s">
        <v>169</v>
      </c>
      <c r="K35" s="13" t="s">
        <v>169</v>
      </c>
      <c r="L35" s="13" t="s">
        <v>169</v>
      </c>
      <c r="M35" s="13" t="s">
        <v>169</v>
      </c>
      <c r="N35" s="13" t="s">
        <v>169</v>
      </c>
      <c r="O35" s="13" t="s">
        <v>169</v>
      </c>
      <c r="P35" s="13" t="s">
        <v>169</v>
      </c>
      <c r="Q35" s="13" t="s">
        <v>169</v>
      </c>
      <c r="R35" s="13" t="s">
        <v>169</v>
      </c>
      <c r="S35" s="13" t="s">
        <v>169</v>
      </c>
    </row>
    <row r="36" spans="1:19" ht="30" customHeight="1" x14ac:dyDescent="0.25">
      <c r="A36" s="33" t="s">
        <v>119</v>
      </c>
      <c r="B36" s="17" t="s">
        <v>120</v>
      </c>
      <c r="C36" s="4">
        <v>10</v>
      </c>
      <c r="D36" s="4" t="s">
        <v>181</v>
      </c>
      <c r="E36" s="4"/>
      <c r="F36" s="13" t="s">
        <v>304</v>
      </c>
      <c r="G36" s="13" t="s">
        <v>170</v>
      </c>
      <c r="H36" s="13" t="s">
        <v>169</v>
      </c>
      <c r="I36" s="13" t="s">
        <v>170</v>
      </c>
      <c r="J36" s="13" t="s">
        <v>169</v>
      </c>
      <c r="K36" s="13" t="s">
        <v>169</v>
      </c>
      <c r="L36" s="13" t="s">
        <v>169</v>
      </c>
      <c r="M36" s="13" t="s">
        <v>169</v>
      </c>
      <c r="N36" s="13" t="s">
        <v>169</v>
      </c>
      <c r="O36" s="13" t="s">
        <v>169</v>
      </c>
      <c r="P36" s="13" t="s">
        <v>169</v>
      </c>
      <c r="Q36" s="13" t="s">
        <v>169</v>
      </c>
      <c r="R36" s="13" t="s">
        <v>169</v>
      </c>
      <c r="S36" s="13" t="s">
        <v>169</v>
      </c>
    </row>
    <row r="37" spans="1:19" ht="30" customHeight="1" x14ac:dyDescent="0.25">
      <c r="A37" s="33" t="s">
        <v>121</v>
      </c>
      <c r="B37" s="17" t="s">
        <v>307</v>
      </c>
      <c r="C37" s="4">
        <v>10</v>
      </c>
      <c r="D37" s="4" t="s">
        <v>181</v>
      </c>
      <c r="E37" s="4"/>
      <c r="F37" s="13" t="s">
        <v>304</v>
      </c>
      <c r="G37" s="13" t="s">
        <v>170</v>
      </c>
      <c r="H37" s="13" t="s">
        <v>169</v>
      </c>
      <c r="I37" s="13" t="s">
        <v>170</v>
      </c>
      <c r="J37" s="13" t="s">
        <v>169</v>
      </c>
      <c r="K37" s="13" t="s">
        <v>169</v>
      </c>
      <c r="L37" s="13" t="s">
        <v>169</v>
      </c>
      <c r="M37" s="13" t="s">
        <v>169</v>
      </c>
      <c r="N37" s="13" t="s">
        <v>169</v>
      </c>
      <c r="O37" s="13" t="s">
        <v>169</v>
      </c>
      <c r="P37" s="13" t="s">
        <v>169</v>
      </c>
      <c r="Q37" s="13" t="s">
        <v>169</v>
      </c>
      <c r="R37" s="13" t="s">
        <v>169</v>
      </c>
      <c r="S37" s="13" t="s">
        <v>169</v>
      </c>
    </row>
    <row r="38" spans="1:19" ht="30" customHeight="1" x14ac:dyDescent="0.25">
      <c r="A38" s="33" t="s">
        <v>122</v>
      </c>
      <c r="B38" s="17" t="s">
        <v>123</v>
      </c>
      <c r="C38" s="4">
        <v>5</v>
      </c>
      <c r="D38" s="4" t="s">
        <v>176</v>
      </c>
      <c r="E38" s="4"/>
      <c r="F38" s="13" t="s">
        <v>169</v>
      </c>
      <c r="G38" s="13" t="s">
        <v>169</v>
      </c>
      <c r="H38" s="13" t="s">
        <v>169</v>
      </c>
      <c r="I38" s="13" t="s">
        <v>170</v>
      </c>
      <c r="J38" s="13" t="s">
        <v>169</v>
      </c>
      <c r="K38" s="13" t="s">
        <v>169</v>
      </c>
      <c r="L38" s="13" t="s">
        <v>169</v>
      </c>
      <c r="M38" s="13" t="s">
        <v>169</v>
      </c>
      <c r="N38" s="13" t="s">
        <v>169</v>
      </c>
      <c r="O38" s="13" t="s">
        <v>169</v>
      </c>
      <c r="P38" s="13" t="s">
        <v>169</v>
      </c>
      <c r="Q38" s="13" t="s">
        <v>169</v>
      </c>
      <c r="R38" s="13" t="s">
        <v>169</v>
      </c>
      <c r="S38" s="13" t="s">
        <v>169</v>
      </c>
    </row>
    <row r="39" spans="1:19" ht="30" customHeight="1" x14ac:dyDescent="0.25">
      <c r="A39" s="30" t="s">
        <v>124</v>
      </c>
      <c r="B39" s="8" t="s">
        <v>238</v>
      </c>
      <c r="C39" s="4">
        <v>7</v>
      </c>
      <c r="D39" s="4" t="s">
        <v>178</v>
      </c>
      <c r="E39" s="4"/>
      <c r="F39" s="11" t="s">
        <v>270</v>
      </c>
      <c r="G39" s="13" t="s">
        <v>170</v>
      </c>
      <c r="H39" s="13" t="s">
        <v>169</v>
      </c>
      <c r="I39" s="13" t="s">
        <v>169</v>
      </c>
      <c r="J39" s="13" t="s">
        <v>169</v>
      </c>
      <c r="K39" s="13" t="s">
        <v>169</v>
      </c>
      <c r="L39" s="13" t="s">
        <v>169</v>
      </c>
      <c r="M39" s="13" t="s">
        <v>169</v>
      </c>
      <c r="N39" s="13" t="s">
        <v>169</v>
      </c>
      <c r="O39" s="13" t="s">
        <v>169</v>
      </c>
      <c r="P39" s="13" t="s">
        <v>169</v>
      </c>
      <c r="Q39" s="13" t="s">
        <v>169</v>
      </c>
      <c r="R39" s="13" t="s">
        <v>169</v>
      </c>
      <c r="S39" s="13" t="s">
        <v>169</v>
      </c>
    </row>
    <row r="40" spans="1:19" ht="30" customHeight="1" x14ac:dyDescent="0.25">
      <c r="A40" s="30" t="s">
        <v>125</v>
      </c>
      <c r="B40" s="8" t="s">
        <v>239</v>
      </c>
      <c r="C40" s="4">
        <v>7</v>
      </c>
      <c r="D40" s="4" t="s">
        <v>178</v>
      </c>
      <c r="E40" s="4"/>
      <c r="F40" s="13" t="s">
        <v>126</v>
      </c>
      <c r="G40" s="13" t="s">
        <v>170</v>
      </c>
      <c r="H40" s="13" t="s">
        <v>169</v>
      </c>
      <c r="I40" s="13" t="s">
        <v>169</v>
      </c>
      <c r="J40" s="13" t="s">
        <v>169</v>
      </c>
      <c r="K40" s="13" t="s">
        <v>169</v>
      </c>
      <c r="L40" s="13" t="s">
        <v>169</v>
      </c>
      <c r="M40" s="13" t="s">
        <v>169</v>
      </c>
      <c r="N40" s="13" t="s">
        <v>169</v>
      </c>
      <c r="O40" s="13" t="s">
        <v>169</v>
      </c>
      <c r="P40" s="13" t="s">
        <v>169</v>
      </c>
      <c r="Q40" s="13" t="s">
        <v>169</v>
      </c>
      <c r="R40" s="13" t="s">
        <v>169</v>
      </c>
      <c r="S40" s="13" t="s">
        <v>169</v>
      </c>
    </row>
    <row r="41" spans="1:19" ht="30" customHeight="1" x14ac:dyDescent="0.25">
      <c r="A41" s="30" t="s">
        <v>127</v>
      </c>
      <c r="B41" s="17" t="s">
        <v>128</v>
      </c>
      <c r="C41" s="4">
        <v>10</v>
      </c>
      <c r="D41" s="4" t="s">
        <v>181</v>
      </c>
      <c r="E41" s="4"/>
      <c r="F41" s="13" t="s">
        <v>302</v>
      </c>
      <c r="G41" s="13" t="s">
        <v>170</v>
      </c>
      <c r="H41" s="18" t="s">
        <v>169</v>
      </c>
      <c r="I41" s="18" t="s">
        <v>169</v>
      </c>
      <c r="J41" s="18" t="s">
        <v>169</v>
      </c>
      <c r="K41" s="18" t="s">
        <v>169</v>
      </c>
      <c r="L41" s="18" t="s">
        <v>170</v>
      </c>
      <c r="M41" s="18" t="s">
        <v>169</v>
      </c>
      <c r="N41" s="18" t="s">
        <v>169</v>
      </c>
      <c r="O41" s="18" t="s">
        <v>169</v>
      </c>
      <c r="P41" s="18" t="s">
        <v>169</v>
      </c>
      <c r="Q41" s="18" t="s">
        <v>169</v>
      </c>
      <c r="R41" s="18" t="s">
        <v>169</v>
      </c>
      <c r="S41" s="18" t="s">
        <v>169</v>
      </c>
    </row>
    <row r="42" spans="1:19" ht="30" customHeight="1" x14ac:dyDescent="0.25">
      <c r="A42" s="30" t="s">
        <v>129</v>
      </c>
      <c r="B42" s="17" t="s">
        <v>130</v>
      </c>
      <c r="C42" s="4">
        <v>10</v>
      </c>
      <c r="D42" s="4" t="s">
        <v>181</v>
      </c>
      <c r="E42" s="4"/>
      <c r="F42" s="13" t="s">
        <v>302</v>
      </c>
      <c r="G42" s="18" t="s">
        <v>169</v>
      </c>
      <c r="H42" s="18" t="s">
        <v>169</v>
      </c>
      <c r="I42" s="18" t="s">
        <v>169</v>
      </c>
      <c r="J42" s="18" t="s">
        <v>169</v>
      </c>
      <c r="K42" s="18" t="s">
        <v>169</v>
      </c>
      <c r="L42" s="18" t="s">
        <v>169</v>
      </c>
      <c r="M42" s="18" t="s">
        <v>169</v>
      </c>
      <c r="N42" s="18" t="s">
        <v>169</v>
      </c>
      <c r="O42" s="18" t="s">
        <v>169</v>
      </c>
      <c r="P42" s="18" t="s">
        <v>170</v>
      </c>
      <c r="Q42" s="18" t="s">
        <v>169</v>
      </c>
      <c r="R42" s="18" t="s">
        <v>169</v>
      </c>
      <c r="S42" s="18" t="s">
        <v>169</v>
      </c>
    </row>
    <row r="43" spans="1:19" ht="30" customHeight="1" x14ac:dyDescent="0.25">
      <c r="A43" s="33" t="s">
        <v>133</v>
      </c>
      <c r="B43" s="12" t="s">
        <v>134</v>
      </c>
      <c r="C43" s="4">
        <v>10</v>
      </c>
      <c r="D43" s="4" t="s">
        <v>181</v>
      </c>
      <c r="E43" s="4"/>
      <c r="F43" s="13" t="s">
        <v>298</v>
      </c>
      <c r="G43" s="18" t="s">
        <v>169</v>
      </c>
      <c r="H43" s="18" t="s">
        <v>169</v>
      </c>
      <c r="I43" s="18" t="s">
        <v>169</v>
      </c>
      <c r="J43" s="18" t="s">
        <v>169</v>
      </c>
      <c r="K43" s="18" t="s">
        <v>169</v>
      </c>
      <c r="L43" s="18" t="s">
        <v>170</v>
      </c>
      <c r="M43" s="18" t="s">
        <v>169</v>
      </c>
      <c r="N43" s="18" t="s">
        <v>169</v>
      </c>
      <c r="O43" s="18" t="s">
        <v>169</v>
      </c>
      <c r="P43" s="18" t="s">
        <v>170</v>
      </c>
      <c r="Q43" s="18" t="s">
        <v>169</v>
      </c>
      <c r="R43" s="18" t="s">
        <v>169</v>
      </c>
      <c r="S43" s="18" t="s">
        <v>169</v>
      </c>
    </row>
    <row r="44" spans="1:19" ht="30" customHeight="1" x14ac:dyDescent="0.25">
      <c r="A44" s="34" t="s">
        <v>135</v>
      </c>
      <c r="B44" s="17" t="s">
        <v>136</v>
      </c>
      <c r="C44" s="4">
        <v>10</v>
      </c>
      <c r="D44" s="4" t="s">
        <v>181</v>
      </c>
      <c r="E44" s="4"/>
      <c r="F44" s="13" t="s">
        <v>298</v>
      </c>
      <c r="G44" s="18" t="s">
        <v>169</v>
      </c>
      <c r="H44" s="18" t="s">
        <v>169</v>
      </c>
      <c r="I44" s="18" t="s">
        <v>169</v>
      </c>
      <c r="J44" s="18" t="s">
        <v>169</v>
      </c>
      <c r="K44" s="18" t="s">
        <v>169</v>
      </c>
      <c r="L44" s="18" t="s">
        <v>170</v>
      </c>
      <c r="M44" s="18" t="s">
        <v>169</v>
      </c>
      <c r="N44" s="18" t="s">
        <v>169</v>
      </c>
      <c r="O44" s="18" t="s">
        <v>169</v>
      </c>
      <c r="P44" s="18" t="s">
        <v>170</v>
      </c>
      <c r="Q44" s="18" t="s">
        <v>169</v>
      </c>
      <c r="R44" s="18" t="s">
        <v>169</v>
      </c>
      <c r="S44" s="18" t="s">
        <v>169</v>
      </c>
    </row>
    <row r="45" spans="1:19" ht="30" customHeight="1" x14ac:dyDescent="0.25">
      <c r="A45" s="34" t="s">
        <v>137</v>
      </c>
      <c r="B45" s="17" t="s">
        <v>138</v>
      </c>
      <c r="C45" s="4">
        <v>10</v>
      </c>
      <c r="D45" s="4" t="s">
        <v>181</v>
      </c>
      <c r="E45" s="4"/>
      <c r="F45" s="13" t="s">
        <v>298</v>
      </c>
      <c r="G45" s="18" t="s">
        <v>169</v>
      </c>
      <c r="H45" s="18" t="s">
        <v>169</v>
      </c>
      <c r="I45" s="18" t="s">
        <v>169</v>
      </c>
      <c r="J45" s="18" t="s">
        <v>169</v>
      </c>
      <c r="K45" s="18" t="s">
        <v>169</v>
      </c>
      <c r="L45" s="18" t="s">
        <v>170</v>
      </c>
      <c r="M45" s="18" t="s">
        <v>169</v>
      </c>
      <c r="N45" s="18" t="s">
        <v>169</v>
      </c>
      <c r="O45" s="18" t="s">
        <v>169</v>
      </c>
      <c r="P45" s="18" t="s">
        <v>170</v>
      </c>
      <c r="Q45" s="18" t="s">
        <v>169</v>
      </c>
      <c r="R45" s="18" t="s">
        <v>169</v>
      </c>
      <c r="S45" s="18" t="s">
        <v>169</v>
      </c>
    </row>
    <row r="46" spans="1:19" ht="30" customHeight="1" x14ac:dyDescent="0.25">
      <c r="A46" s="80" t="s">
        <v>271</v>
      </c>
      <c r="B46" s="40" t="s">
        <v>272</v>
      </c>
      <c r="C46" s="4">
        <v>10</v>
      </c>
      <c r="D46" s="4" t="s">
        <v>181</v>
      </c>
      <c r="E46" s="41"/>
      <c r="F46" s="13" t="s">
        <v>169</v>
      </c>
      <c r="G46" s="44"/>
      <c r="H46" s="44"/>
      <c r="I46" s="44"/>
      <c r="J46" s="44"/>
      <c r="K46" s="44"/>
      <c r="L46" s="44" t="s">
        <v>170</v>
      </c>
      <c r="M46" s="44"/>
      <c r="N46" s="44"/>
      <c r="O46" s="44"/>
      <c r="P46" s="44" t="s">
        <v>170</v>
      </c>
      <c r="Q46" s="44"/>
      <c r="R46" s="44"/>
      <c r="S46" s="44"/>
    </row>
  </sheetData>
  <hyperlinks>
    <hyperlink ref="B2" r:id="rId1" display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xr:uid="{00C5902B-E166-4BB6-BB06-87FDF1286661}"/>
    <hyperlink ref="B11" r:id="rId2" display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xr:uid="{0A371DC8-C788-4558-803F-7D728316BA5F}"/>
    <hyperlink ref="B9" r:id="rId3" display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xr:uid="{3DB71ED9-40B4-46E4-82D4-CC7B1411E95E}"/>
    <hyperlink ref="B31" r:id="rId4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50E16A51-96C9-40EF-8399-DF85728CDD99}"/>
    <hyperlink ref="B12" r:id="rId5" xr:uid="{9C2FA49D-86AA-4750-A2BB-A8825D68DC58}"/>
    <hyperlink ref="B14" r:id="rId6" xr:uid="{D23E3CBD-62BE-4A40-830D-67FDF50E6840}"/>
    <hyperlink ref="B15" r:id="rId7" xr:uid="{BF0E33B4-769A-42A9-8B1B-ACADA2ADD0B3}"/>
    <hyperlink ref="B16" r:id="rId8" xr:uid="{16D42127-55C6-420C-BF89-54C65A32C83F}"/>
    <hyperlink ref="B17" r:id="rId9" xr:uid="{1AC05E9E-EA3F-4985-8B02-521D916F97B5}"/>
    <hyperlink ref="B18" r:id="rId10" xr:uid="{42DD9BF5-FBA2-4F16-BF26-98CB8FD51C14}"/>
    <hyperlink ref="B27" r:id="rId11" xr:uid="{F74A3A9B-1370-4760-8472-099CBC7BCC75}"/>
    <hyperlink ref="B26" r:id="rId12" xr:uid="{CD019FE9-94B0-467B-AE6B-203ADF5330B3}"/>
    <hyperlink ref="B25" r:id="rId13" xr:uid="{6A79AA6E-1272-48CD-B61A-6117BE09B04B}"/>
    <hyperlink ref="B24" r:id="rId14" xr:uid="{2BDC2379-A73E-42DE-A859-A498D7B00CF3}"/>
    <hyperlink ref="B23" r:id="rId15" xr:uid="{BAAA1930-2610-4ACE-9430-D196E3569C6A}"/>
    <hyperlink ref="B22" r:id="rId16" xr:uid="{62E7DED4-755D-4C55-8A1C-9788214C42A1}"/>
    <hyperlink ref="B21" r:id="rId17" xr:uid="{00069469-6FDB-4B8B-84E4-D6B1E11D0D4F}"/>
    <hyperlink ref="B28" r:id="rId18" xr:uid="{4B03D044-79DD-4E14-8DD2-3DAD81B6B6FD}"/>
    <hyperlink ref="B30" r:id="rId19" xr:uid="{7077697B-3B5F-4D65-99E7-F385C8B1A2BB}"/>
    <hyperlink ref="B32" r:id="rId20" xr:uid="{14BAAB97-7FCE-47F2-98CC-BE24105A6233}"/>
    <hyperlink ref="B33" r:id="rId21" xr:uid="{B1CA7EE4-D77A-4DBE-9580-6748858352FF}"/>
    <hyperlink ref="B13" r:id="rId22" xr:uid="{D15C4415-246D-45E6-A754-5D15D799DC10}"/>
    <hyperlink ref="B38" r:id="rId23" xr:uid="{2599BDC5-C9B4-47F0-BC3A-554C8968C122}"/>
    <hyperlink ref="B34" r:id="rId24" xr:uid="{29BFFF34-7787-473E-BDF8-DDF99D30F8A4}"/>
    <hyperlink ref="B35" r:id="rId25" xr:uid="{35F8F9BD-A805-4896-9894-333D645E037D}"/>
    <hyperlink ref="B36" r:id="rId26" xr:uid="{B8EEEC4E-0421-4D4E-B078-E1086193B719}"/>
    <hyperlink ref="B3" r:id="rId27" xr:uid="{BB0F75FC-BF8B-4E19-93F8-948064D07D38}"/>
    <hyperlink ref="B41" r:id="rId28" xr:uid="{CA7AD08F-5A1D-4873-AA11-08A3707FFFE7}"/>
    <hyperlink ref="B42" r:id="rId29" xr:uid="{7BAFB58B-9ABC-493B-A432-3E1F9045A938}"/>
    <hyperlink ref="B43" r:id="rId30" xr:uid="{665A7F01-0F5D-4653-91FC-69B3BC5EF1CC}"/>
    <hyperlink ref="B44" r:id="rId31" xr:uid="{C31C2393-67D9-401D-A91C-E191A84BFC2A}"/>
    <hyperlink ref="B45" r:id="rId32" xr:uid="{A976BF29-EC84-4224-A6A4-E7844D9D6C03}"/>
    <hyperlink ref="B19" r:id="rId33" xr:uid="{EC65E1DF-F692-4AA3-B563-A9A39FFE042A}"/>
    <hyperlink ref="B20" r:id="rId34" xr:uid="{4BBFC044-AA2F-488B-A6BC-BE9143DBAAEB}"/>
    <hyperlink ref="B39" r:id="rId35" xr:uid="{24DA31D2-51C8-4CD5-B4BA-0DB6EC69B898}"/>
    <hyperlink ref="B40" r:id="rId36" xr:uid="{66554D26-E7A7-4C66-80EB-A07E6224DB9B}"/>
    <hyperlink ref="B46" r:id="rId37" xr:uid="{D3D6A1A3-4706-45C8-A896-56EA6B1F382C}"/>
    <hyperlink ref="B10" r:id="rId38" xr:uid="{C5EBCEEA-86D0-4D17-A7A5-C284FEFED952}"/>
    <hyperlink ref="B29" r:id="rId39" xr:uid="{729ADED9-0371-453A-B8E3-00216AB0F6D8}"/>
    <hyperlink ref="B8" r:id="rId40" display="Hotel Experience Champion Guide" xr:uid="{AD23345B-572B-4274-BC4F-57F3EDEF758E}"/>
    <hyperlink ref="B4" r:id="rId41" display="Managed Hotel - Leaders Guide" xr:uid="{28271BC0-29DC-4569-B7ED-2056340B86F1}"/>
    <hyperlink ref="B5" r:id="rId42" xr:uid="{9174E730-0C8D-4411-BCF6-6AD462B96F39}"/>
    <hyperlink ref="B6" r:id="rId43" xr:uid="{4F6A298D-10B7-45F1-9329-16D0F3D99B4D}"/>
    <hyperlink ref="B7" r:id="rId44" xr:uid="{179D80E2-F264-41E1-9997-AD2DD0172115}"/>
    <hyperlink ref="B37" r:id="rId45" display="IHG53503" xr:uid="{CC1B5E27-7012-4FA5-B4DB-3282DC64410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F65CA-125D-4503-A75A-AD608A05744A}">
  <sheetPr codeName="Sheet7">
    <tabColor rgb="FF006980"/>
  </sheetPr>
  <dimension ref="A1:X44"/>
  <sheetViews>
    <sheetView zoomScale="85" zoomScaleNormal="85" workbookViewId="0">
      <pane ySplit="1" topLeftCell="A2" activePane="bottomLeft" state="frozen"/>
      <selection activeCell="B1" sqref="B1:B1048576"/>
      <selection pane="bottomLeft" activeCell="E13" sqref="E13"/>
    </sheetView>
  </sheetViews>
  <sheetFormatPr defaultRowHeight="30" customHeight="1" x14ac:dyDescent="0.25"/>
  <cols>
    <col min="1" max="1" width="48.7109375" style="77" customWidth="1"/>
    <col min="2" max="2" width="16.7109375" style="23" customWidth="1"/>
    <col min="3" max="5" width="22.7109375" style="9" customWidth="1"/>
    <col min="6" max="6" width="31.7109375" style="23" customWidth="1"/>
    <col min="7" max="7" width="19.5703125" style="29" customWidth="1"/>
    <col min="8" max="19" width="19.5703125" style="28" customWidth="1"/>
    <col min="20" max="24" width="9.140625" style="28"/>
    <col min="25" max="16384" width="9.140625" style="24"/>
  </cols>
  <sheetData>
    <row r="1" spans="1:19" ht="30" customHeight="1" x14ac:dyDescent="0.25">
      <c r="A1" s="33" t="s">
        <v>21</v>
      </c>
      <c r="B1" s="13" t="s">
        <v>50</v>
      </c>
      <c r="C1" s="4" t="s">
        <v>182</v>
      </c>
      <c r="D1" s="4" t="s">
        <v>183</v>
      </c>
      <c r="E1" s="4" t="s">
        <v>184</v>
      </c>
      <c r="F1" s="13" t="s">
        <v>51</v>
      </c>
      <c r="G1" s="13" t="s">
        <v>52</v>
      </c>
      <c r="H1" s="13" t="s">
        <v>53</v>
      </c>
      <c r="I1" s="13" t="s">
        <v>54</v>
      </c>
      <c r="J1" s="13" t="s">
        <v>55</v>
      </c>
      <c r="K1" s="13" t="s">
        <v>56</v>
      </c>
      <c r="L1" s="13" t="s">
        <v>57</v>
      </c>
      <c r="M1" s="13" t="s">
        <v>58</v>
      </c>
      <c r="N1" s="13" t="s">
        <v>59</v>
      </c>
      <c r="O1" s="13" t="s">
        <v>60</v>
      </c>
      <c r="P1" s="13" t="s">
        <v>61</v>
      </c>
      <c r="Q1" s="13" t="s">
        <v>62</v>
      </c>
      <c r="R1" s="13" t="s">
        <v>63</v>
      </c>
      <c r="S1" s="13" t="s">
        <v>64</v>
      </c>
    </row>
    <row r="2" spans="1:19" ht="30" customHeight="1" x14ac:dyDescent="0.25">
      <c r="A2" s="30" t="s">
        <v>65</v>
      </c>
      <c r="B2" s="12" t="s">
        <v>66</v>
      </c>
      <c r="C2" s="4">
        <v>3</v>
      </c>
      <c r="D2" s="4" t="s">
        <v>174</v>
      </c>
      <c r="E2" s="4"/>
      <c r="F2" s="13" t="s">
        <v>294</v>
      </c>
      <c r="G2" s="13" t="s">
        <v>170</v>
      </c>
      <c r="H2" s="13" t="s">
        <v>170</v>
      </c>
      <c r="I2" s="13" t="s">
        <v>170</v>
      </c>
      <c r="J2" s="13" t="s">
        <v>170</v>
      </c>
      <c r="K2" s="13" t="s">
        <v>170</v>
      </c>
      <c r="L2" s="13" t="s">
        <v>170</v>
      </c>
      <c r="M2" s="13" t="s">
        <v>170</v>
      </c>
      <c r="N2" s="13" t="s">
        <v>170</v>
      </c>
      <c r="O2" s="13" t="s">
        <v>170</v>
      </c>
      <c r="P2" s="13" t="s">
        <v>170</v>
      </c>
      <c r="Q2" s="13" t="s">
        <v>170</v>
      </c>
      <c r="R2" s="13" t="s">
        <v>170</v>
      </c>
      <c r="S2" s="13" t="s">
        <v>170</v>
      </c>
    </row>
    <row r="3" spans="1:19" ht="30" customHeight="1" x14ac:dyDescent="0.25">
      <c r="A3" s="33" t="s">
        <v>139</v>
      </c>
      <c r="B3" s="12" t="s">
        <v>140</v>
      </c>
      <c r="C3" s="4">
        <v>3</v>
      </c>
      <c r="D3" s="4" t="s">
        <v>174</v>
      </c>
      <c r="E3" s="4"/>
      <c r="F3" s="13" t="s">
        <v>308</v>
      </c>
      <c r="G3" s="13" t="s">
        <v>170</v>
      </c>
      <c r="H3" s="13" t="s">
        <v>170</v>
      </c>
      <c r="I3" s="13" t="s">
        <v>170</v>
      </c>
      <c r="J3" s="13" t="s">
        <v>170</v>
      </c>
      <c r="K3" s="13" t="s">
        <v>170</v>
      </c>
      <c r="L3" s="13" t="s">
        <v>170</v>
      </c>
      <c r="M3" s="13" t="s">
        <v>170</v>
      </c>
      <c r="N3" s="13" t="s">
        <v>170</v>
      </c>
      <c r="O3" s="13" t="s">
        <v>170</v>
      </c>
      <c r="P3" s="13" t="s">
        <v>170</v>
      </c>
      <c r="Q3" s="13" t="s">
        <v>170</v>
      </c>
      <c r="R3" s="13" t="s">
        <v>170</v>
      </c>
      <c r="S3" s="13" t="s">
        <v>170</v>
      </c>
    </row>
    <row r="4" spans="1:19" ht="30" customHeight="1" x14ac:dyDescent="0.25">
      <c r="A4" s="33" t="s">
        <v>141</v>
      </c>
      <c r="B4" s="12" t="s">
        <v>142</v>
      </c>
      <c r="C4" s="4">
        <v>3</v>
      </c>
      <c r="D4" s="4" t="s">
        <v>174</v>
      </c>
      <c r="E4" s="4"/>
      <c r="F4" s="13" t="s">
        <v>308</v>
      </c>
      <c r="G4" s="13" t="s">
        <v>170</v>
      </c>
      <c r="H4" s="13" t="s">
        <v>170</v>
      </c>
      <c r="I4" s="13" t="s">
        <v>170</v>
      </c>
      <c r="J4" s="13" t="s">
        <v>170</v>
      </c>
      <c r="K4" s="13" t="s">
        <v>170</v>
      </c>
      <c r="L4" s="13" t="s">
        <v>170</v>
      </c>
      <c r="M4" s="13" t="s">
        <v>170</v>
      </c>
      <c r="N4" s="13" t="s">
        <v>170</v>
      </c>
      <c r="O4" s="13" t="s">
        <v>170</v>
      </c>
      <c r="P4" s="13" t="s">
        <v>170</v>
      </c>
      <c r="Q4" s="13" t="s">
        <v>170</v>
      </c>
      <c r="R4" s="13" t="s">
        <v>170</v>
      </c>
      <c r="S4" s="13" t="s">
        <v>170</v>
      </c>
    </row>
    <row r="5" spans="1:19" ht="30" customHeight="1" x14ac:dyDescent="0.25">
      <c r="A5" s="33" t="s">
        <v>292</v>
      </c>
      <c r="B5" s="16" t="s">
        <v>286</v>
      </c>
      <c r="C5" s="4">
        <v>3</v>
      </c>
      <c r="D5" s="4" t="s">
        <v>174</v>
      </c>
      <c r="E5" s="4"/>
      <c r="F5" s="13" t="s">
        <v>290</v>
      </c>
      <c r="G5" s="13" t="s">
        <v>170</v>
      </c>
      <c r="H5" s="13" t="s">
        <v>170</v>
      </c>
      <c r="I5" s="13" t="s">
        <v>170</v>
      </c>
      <c r="J5" s="13" t="s">
        <v>170</v>
      </c>
      <c r="K5" s="13" t="s">
        <v>170</v>
      </c>
      <c r="L5" s="13" t="s">
        <v>170</v>
      </c>
      <c r="M5" s="13" t="s">
        <v>170</v>
      </c>
      <c r="N5" s="13"/>
      <c r="O5" s="13"/>
      <c r="P5" s="13"/>
      <c r="Q5" s="13"/>
      <c r="R5" s="13" t="s">
        <v>170</v>
      </c>
      <c r="S5" s="13"/>
    </row>
    <row r="6" spans="1:19" ht="30" customHeight="1" x14ac:dyDescent="0.25">
      <c r="A6" s="33" t="s">
        <v>292</v>
      </c>
      <c r="B6" s="16" t="s">
        <v>287</v>
      </c>
      <c r="C6" s="4">
        <v>3</v>
      </c>
      <c r="D6" s="4" t="s">
        <v>174</v>
      </c>
      <c r="E6" s="4"/>
      <c r="F6" s="13" t="s">
        <v>290</v>
      </c>
      <c r="G6" s="13"/>
      <c r="H6" s="13"/>
      <c r="I6" s="13"/>
      <c r="J6" s="13"/>
      <c r="K6" s="13"/>
      <c r="L6" s="13"/>
      <c r="M6" s="13"/>
      <c r="N6" s="13" t="s">
        <v>170</v>
      </c>
      <c r="O6" s="13" t="s">
        <v>170</v>
      </c>
      <c r="P6" s="13" t="s">
        <v>170</v>
      </c>
      <c r="Q6" s="13" t="s">
        <v>170</v>
      </c>
      <c r="R6" s="13"/>
      <c r="S6" s="13" t="s">
        <v>170</v>
      </c>
    </row>
    <row r="7" spans="1:19" ht="30" customHeight="1" x14ac:dyDescent="0.25">
      <c r="A7" s="33" t="s">
        <v>293</v>
      </c>
      <c r="B7" s="16" t="s">
        <v>288</v>
      </c>
      <c r="C7" s="4">
        <v>3</v>
      </c>
      <c r="D7" s="4" t="s">
        <v>174</v>
      </c>
      <c r="E7" s="4"/>
      <c r="F7" s="13" t="s">
        <v>291</v>
      </c>
      <c r="G7" s="13" t="s">
        <v>170</v>
      </c>
      <c r="H7" s="13" t="s">
        <v>170</v>
      </c>
      <c r="I7" s="13" t="s">
        <v>170</v>
      </c>
      <c r="J7" s="13" t="s">
        <v>170</v>
      </c>
      <c r="K7" s="13" t="s">
        <v>170</v>
      </c>
      <c r="L7" s="13" t="s">
        <v>170</v>
      </c>
      <c r="M7" s="13" t="s">
        <v>170</v>
      </c>
      <c r="N7" s="13"/>
      <c r="O7" s="13"/>
      <c r="P7" s="13"/>
      <c r="Q7" s="13"/>
      <c r="R7" s="13" t="s">
        <v>170</v>
      </c>
      <c r="S7" s="13"/>
    </row>
    <row r="8" spans="1:19" ht="30" customHeight="1" x14ac:dyDescent="0.25">
      <c r="A8" s="33" t="s">
        <v>293</v>
      </c>
      <c r="B8" s="16" t="s">
        <v>289</v>
      </c>
      <c r="C8" s="4">
        <v>3</v>
      </c>
      <c r="D8" s="4" t="s">
        <v>174</v>
      </c>
      <c r="E8" s="4"/>
      <c r="F8" s="13" t="s">
        <v>291</v>
      </c>
      <c r="G8" s="13"/>
      <c r="H8" s="13"/>
      <c r="I8" s="13"/>
      <c r="J8" s="13"/>
      <c r="K8" s="13"/>
      <c r="L8" s="13"/>
      <c r="M8" s="13"/>
      <c r="N8" s="13" t="s">
        <v>170</v>
      </c>
      <c r="O8" s="13" t="s">
        <v>170</v>
      </c>
      <c r="P8" s="13" t="s">
        <v>170</v>
      </c>
      <c r="Q8" s="13" t="s">
        <v>170</v>
      </c>
      <c r="R8" s="13"/>
      <c r="S8" s="13" t="s">
        <v>170</v>
      </c>
    </row>
    <row r="9" spans="1:19" ht="30" customHeight="1" x14ac:dyDescent="0.25">
      <c r="A9" s="33" t="s">
        <v>69</v>
      </c>
      <c r="B9" s="16" t="s">
        <v>285</v>
      </c>
      <c r="C9" s="4">
        <v>3</v>
      </c>
      <c r="D9" s="4" t="s">
        <v>174</v>
      </c>
      <c r="E9" s="4"/>
      <c r="F9" s="4" t="s">
        <v>284</v>
      </c>
      <c r="G9" s="13" t="s">
        <v>170</v>
      </c>
      <c r="H9" s="13" t="s">
        <v>169</v>
      </c>
      <c r="I9" s="13" t="s">
        <v>169</v>
      </c>
      <c r="J9" s="13" t="s">
        <v>169</v>
      </c>
      <c r="K9" s="13" t="s">
        <v>169</v>
      </c>
      <c r="L9" s="13" t="s">
        <v>169</v>
      </c>
      <c r="M9" s="13" t="s">
        <v>169</v>
      </c>
      <c r="N9" s="13" t="s">
        <v>169</v>
      </c>
      <c r="O9" s="13" t="s">
        <v>169</v>
      </c>
      <c r="P9" s="13" t="s">
        <v>169</v>
      </c>
      <c r="Q9" s="13" t="s">
        <v>169</v>
      </c>
      <c r="R9" s="13" t="s">
        <v>169</v>
      </c>
      <c r="S9" s="13" t="s">
        <v>169</v>
      </c>
    </row>
    <row r="10" spans="1:19" ht="30" customHeight="1" x14ac:dyDescent="0.25">
      <c r="A10" s="33" t="s">
        <v>70</v>
      </c>
      <c r="B10" s="12" t="s">
        <v>71</v>
      </c>
      <c r="C10" s="4">
        <v>4</v>
      </c>
      <c r="D10" s="4" t="s">
        <v>175</v>
      </c>
      <c r="E10" s="4"/>
      <c r="F10" s="13" t="s">
        <v>295</v>
      </c>
      <c r="G10" s="13" t="s">
        <v>170</v>
      </c>
      <c r="H10" s="13" t="s">
        <v>170</v>
      </c>
      <c r="I10" s="13" t="s">
        <v>170</v>
      </c>
      <c r="J10" s="13" t="s">
        <v>170</v>
      </c>
      <c r="K10" s="13" t="s">
        <v>170</v>
      </c>
      <c r="L10" s="13" t="s">
        <v>170</v>
      </c>
      <c r="M10" s="13" t="s">
        <v>170</v>
      </c>
      <c r="N10" s="13" t="s">
        <v>169</v>
      </c>
      <c r="O10" s="13" t="s">
        <v>169</v>
      </c>
      <c r="P10" s="13" t="s">
        <v>169</v>
      </c>
      <c r="Q10" s="13" t="s">
        <v>169</v>
      </c>
      <c r="R10" s="13" t="s">
        <v>170</v>
      </c>
      <c r="S10" s="13" t="s">
        <v>169</v>
      </c>
    </row>
    <row r="11" spans="1:19" ht="30" customHeight="1" x14ac:dyDescent="0.25">
      <c r="A11" s="33" t="s">
        <v>274</v>
      </c>
      <c r="B11" s="3" t="s">
        <v>274</v>
      </c>
      <c r="C11" s="4">
        <v>10</v>
      </c>
      <c r="D11" s="4" t="s">
        <v>181</v>
      </c>
      <c r="E11" s="4"/>
      <c r="F11" s="13" t="s">
        <v>273</v>
      </c>
      <c r="G11" s="13" t="s">
        <v>170</v>
      </c>
      <c r="H11" s="13" t="s">
        <v>170</v>
      </c>
      <c r="I11" s="13" t="s">
        <v>170</v>
      </c>
      <c r="J11" s="13" t="s">
        <v>170</v>
      </c>
      <c r="K11" s="13" t="s">
        <v>170</v>
      </c>
      <c r="L11" s="13" t="s">
        <v>170</v>
      </c>
      <c r="M11" s="13" t="s">
        <v>170</v>
      </c>
      <c r="N11" s="13" t="s">
        <v>169</v>
      </c>
      <c r="O11" s="13" t="s">
        <v>169</v>
      </c>
      <c r="P11" s="13" t="s">
        <v>169</v>
      </c>
      <c r="Q11" s="13" t="s">
        <v>169</v>
      </c>
      <c r="R11" s="13" t="s">
        <v>170</v>
      </c>
      <c r="S11" s="13" t="s">
        <v>169</v>
      </c>
    </row>
    <row r="12" spans="1:19" ht="30" customHeight="1" x14ac:dyDescent="0.25">
      <c r="A12" s="33" t="s">
        <v>168</v>
      </c>
      <c r="B12" s="12" t="s">
        <v>72</v>
      </c>
      <c r="C12" s="4">
        <v>3</v>
      </c>
      <c r="D12" s="4" t="s">
        <v>174</v>
      </c>
      <c r="E12" s="4"/>
      <c r="F12" s="13" t="s">
        <v>296</v>
      </c>
      <c r="G12" s="13" t="s">
        <v>170</v>
      </c>
      <c r="H12" s="13" t="s">
        <v>170</v>
      </c>
      <c r="I12" s="13" t="s">
        <v>170</v>
      </c>
      <c r="J12" s="13" t="s">
        <v>170</v>
      </c>
      <c r="K12" s="13" t="s">
        <v>170</v>
      </c>
      <c r="L12" s="13" t="s">
        <v>170</v>
      </c>
      <c r="M12" s="13" t="s">
        <v>170</v>
      </c>
      <c r="N12" s="13" t="s">
        <v>170</v>
      </c>
      <c r="O12" s="13" t="s">
        <v>170</v>
      </c>
      <c r="P12" s="13" t="s">
        <v>170</v>
      </c>
      <c r="Q12" s="13" t="s">
        <v>170</v>
      </c>
      <c r="R12" s="13" t="s">
        <v>170</v>
      </c>
      <c r="S12" s="13" t="s">
        <v>170</v>
      </c>
    </row>
    <row r="13" spans="1:19" ht="30" customHeight="1" x14ac:dyDescent="0.25">
      <c r="A13" s="33" t="s">
        <v>73</v>
      </c>
      <c r="B13" s="17" t="s">
        <v>74</v>
      </c>
      <c r="C13" s="4">
        <v>3</v>
      </c>
      <c r="D13" s="4" t="s">
        <v>174</v>
      </c>
      <c r="E13" s="4"/>
      <c r="F13" s="13" t="s">
        <v>297</v>
      </c>
      <c r="G13" s="13" t="s">
        <v>170</v>
      </c>
      <c r="H13" s="13" t="s">
        <v>170</v>
      </c>
      <c r="I13" s="13" t="s">
        <v>170</v>
      </c>
      <c r="J13" s="13" t="s">
        <v>170</v>
      </c>
      <c r="K13" s="13" t="s">
        <v>170</v>
      </c>
      <c r="L13" s="13" t="s">
        <v>170</v>
      </c>
      <c r="M13" s="13" t="s">
        <v>170</v>
      </c>
      <c r="N13" s="13" t="s">
        <v>170</v>
      </c>
      <c r="O13" s="13" t="s">
        <v>170</v>
      </c>
      <c r="P13" s="13" t="s">
        <v>170</v>
      </c>
      <c r="Q13" s="13" t="s">
        <v>170</v>
      </c>
      <c r="R13" s="13" t="s">
        <v>170</v>
      </c>
      <c r="S13" s="13" t="s">
        <v>170</v>
      </c>
    </row>
    <row r="14" spans="1:19" ht="30" customHeight="1" x14ac:dyDescent="0.25">
      <c r="A14" s="33" t="s">
        <v>75</v>
      </c>
      <c r="B14" s="17" t="s">
        <v>76</v>
      </c>
      <c r="C14" s="4">
        <v>3</v>
      </c>
      <c r="D14" s="4" t="s">
        <v>174</v>
      </c>
      <c r="E14" s="4"/>
      <c r="F14" s="13" t="s">
        <v>297</v>
      </c>
      <c r="G14" s="13" t="s">
        <v>170</v>
      </c>
      <c r="H14" s="13" t="s">
        <v>170</v>
      </c>
      <c r="I14" s="13" t="s">
        <v>170</v>
      </c>
      <c r="J14" s="13" t="s">
        <v>170</v>
      </c>
      <c r="K14" s="13" t="s">
        <v>170</v>
      </c>
      <c r="L14" s="13" t="s">
        <v>170</v>
      </c>
      <c r="M14" s="13" t="s">
        <v>170</v>
      </c>
      <c r="N14" s="13" t="s">
        <v>169</v>
      </c>
      <c r="O14" s="13" t="s">
        <v>169</v>
      </c>
      <c r="P14" s="13" t="s">
        <v>169</v>
      </c>
      <c r="Q14" s="13" t="s">
        <v>169</v>
      </c>
      <c r="R14" s="13" t="s">
        <v>170</v>
      </c>
      <c r="S14" s="13" t="s">
        <v>169</v>
      </c>
    </row>
    <row r="15" spans="1:19" ht="30" customHeight="1" x14ac:dyDescent="0.25">
      <c r="A15" s="33" t="s">
        <v>77</v>
      </c>
      <c r="B15" s="17" t="s">
        <v>78</v>
      </c>
      <c r="C15" s="4">
        <v>3</v>
      </c>
      <c r="D15" s="4" t="s">
        <v>174</v>
      </c>
      <c r="E15" s="4"/>
      <c r="F15" s="13" t="s">
        <v>297</v>
      </c>
      <c r="G15" s="13" t="s">
        <v>170</v>
      </c>
      <c r="H15" s="13" t="s">
        <v>170</v>
      </c>
      <c r="I15" s="13" t="s">
        <v>170</v>
      </c>
      <c r="J15" s="13" t="s">
        <v>170</v>
      </c>
      <c r="K15" s="13" t="s">
        <v>170</v>
      </c>
      <c r="L15" s="13" t="s">
        <v>170</v>
      </c>
      <c r="M15" s="13" t="s">
        <v>170</v>
      </c>
      <c r="N15" s="13" t="s">
        <v>170</v>
      </c>
      <c r="O15" s="13" t="s">
        <v>170</v>
      </c>
      <c r="P15" s="13" t="s">
        <v>170</v>
      </c>
      <c r="Q15" s="13" t="s">
        <v>170</v>
      </c>
      <c r="R15" s="13" t="s">
        <v>170</v>
      </c>
      <c r="S15" s="13" t="s">
        <v>170</v>
      </c>
    </row>
    <row r="16" spans="1:19" ht="30" customHeight="1" x14ac:dyDescent="0.25">
      <c r="A16" s="33" t="s">
        <v>79</v>
      </c>
      <c r="B16" s="17" t="s">
        <v>80</v>
      </c>
      <c r="C16" s="4">
        <v>3</v>
      </c>
      <c r="D16" s="4" t="s">
        <v>174</v>
      </c>
      <c r="E16" s="4"/>
      <c r="F16" s="13" t="s">
        <v>298</v>
      </c>
      <c r="G16" s="13" t="s">
        <v>170</v>
      </c>
      <c r="H16" s="13" t="s">
        <v>170</v>
      </c>
      <c r="I16" s="13" t="s">
        <v>170</v>
      </c>
      <c r="J16" s="13" t="s">
        <v>170</v>
      </c>
      <c r="K16" s="13" t="s">
        <v>170</v>
      </c>
      <c r="L16" s="13" t="s">
        <v>170</v>
      </c>
      <c r="M16" s="13" t="s">
        <v>170</v>
      </c>
      <c r="N16" s="13" t="s">
        <v>170</v>
      </c>
      <c r="O16" s="13" t="s">
        <v>170</v>
      </c>
      <c r="P16" s="13" t="s">
        <v>170</v>
      </c>
      <c r="Q16" s="13" t="s">
        <v>170</v>
      </c>
      <c r="R16" s="13" t="s">
        <v>170</v>
      </c>
      <c r="S16" s="13" t="s">
        <v>170</v>
      </c>
    </row>
    <row r="17" spans="1:19" ht="30" customHeight="1" x14ac:dyDescent="0.25">
      <c r="A17" s="33" t="s">
        <v>81</v>
      </c>
      <c r="B17" s="17" t="s">
        <v>82</v>
      </c>
      <c r="C17" s="4">
        <v>3</v>
      </c>
      <c r="D17" s="4" t="s">
        <v>174</v>
      </c>
      <c r="E17" s="4"/>
      <c r="F17" s="13" t="s">
        <v>297</v>
      </c>
      <c r="G17" s="13" t="s">
        <v>170</v>
      </c>
      <c r="H17" s="13" t="s">
        <v>170</v>
      </c>
      <c r="I17" s="13" t="s">
        <v>170</v>
      </c>
      <c r="J17" s="13" t="s">
        <v>170</v>
      </c>
      <c r="K17" s="13" t="s">
        <v>170</v>
      </c>
      <c r="L17" s="13" t="s">
        <v>170</v>
      </c>
      <c r="M17" s="13" t="s">
        <v>170</v>
      </c>
      <c r="N17" s="13" t="s">
        <v>170</v>
      </c>
      <c r="O17" s="13" t="s">
        <v>170</v>
      </c>
      <c r="P17" s="13" t="s">
        <v>170</v>
      </c>
      <c r="Q17" s="13" t="s">
        <v>170</v>
      </c>
      <c r="R17" s="13" t="s">
        <v>170</v>
      </c>
      <c r="S17" s="13" t="s">
        <v>170</v>
      </c>
    </row>
    <row r="18" spans="1:19" ht="30" customHeight="1" x14ac:dyDescent="0.25">
      <c r="A18" s="33" t="s">
        <v>83</v>
      </c>
      <c r="B18" s="17" t="s">
        <v>84</v>
      </c>
      <c r="C18" s="4">
        <v>10</v>
      </c>
      <c r="D18" s="4" t="s">
        <v>181</v>
      </c>
      <c r="E18" s="4"/>
      <c r="F18" s="13" t="s">
        <v>304</v>
      </c>
      <c r="G18" s="13" t="s">
        <v>170</v>
      </c>
      <c r="H18" s="13" t="s">
        <v>170</v>
      </c>
      <c r="I18" s="13" t="s">
        <v>170</v>
      </c>
      <c r="J18" s="13" t="s">
        <v>170</v>
      </c>
      <c r="K18" s="13" t="s">
        <v>170</v>
      </c>
      <c r="L18" s="13" t="s">
        <v>170</v>
      </c>
      <c r="M18" s="13" t="s">
        <v>170</v>
      </c>
      <c r="N18" s="13" t="s">
        <v>170</v>
      </c>
      <c r="O18" s="13" t="s">
        <v>169</v>
      </c>
      <c r="P18" s="13" t="s">
        <v>169</v>
      </c>
      <c r="Q18" s="13" t="s">
        <v>169</v>
      </c>
      <c r="R18" s="13" t="s">
        <v>170</v>
      </c>
      <c r="S18" s="13" t="s">
        <v>170</v>
      </c>
    </row>
    <row r="19" spans="1:19" ht="30" customHeight="1" x14ac:dyDescent="0.25">
      <c r="A19" s="33" t="s">
        <v>85</v>
      </c>
      <c r="B19" s="17" t="s">
        <v>86</v>
      </c>
      <c r="C19" s="4">
        <v>10</v>
      </c>
      <c r="D19" s="4" t="s">
        <v>181</v>
      </c>
      <c r="E19" s="4"/>
      <c r="F19" s="13" t="s">
        <v>304</v>
      </c>
      <c r="G19" s="13" t="s">
        <v>170</v>
      </c>
      <c r="H19" s="13" t="s">
        <v>169</v>
      </c>
      <c r="I19" s="13" t="s">
        <v>169</v>
      </c>
      <c r="J19" s="13" t="s">
        <v>170</v>
      </c>
      <c r="K19" s="13" t="s">
        <v>169</v>
      </c>
      <c r="L19" s="13" t="s">
        <v>169</v>
      </c>
      <c r="M19" s="13" t="s">
        <v>169</v>
      </c>
      <c r="N19" s="13" t="s">
        <v>170</v>
      </c>
      <c r="O19" s="13" t="s">
        <v>169</v>
      </c>
      <c r="P19" s="13" t="s">
        <v>169</v>
      </c>
      <c r="Q19" s="13" t="s">
        <v>169</v>
      </c>
      <c r="R19" s="13" t="s">
        <v>169</v>
      </c>
      <c r="S19" s="13" t="s">
        <v>169</v>
      </c>
    </row>
    <row r="20" spans="1:19" ht="30" customHeight="1" x14ac:dyDescent="0.25">
      <c r="A20" s="33" t="s">
        <v>87</v>
      </c>
      <c r="B20" s="15" t="s">
        <v>88</v>
      </c>
      <c r="C20" s="4">
        <v>3</v>
      </c>
      <c r="D20" s="4" t="s">
        <v>174</v>
      </c>
      <c r="E20" s="4"/>
      <c r="F20" s="13" t="s">
        <v>299</v>
      </c>
      <c r="G20" s="13" t="s">
        <v>169</v>
      </c>
      <c r="H20" s="13" t="s">
        <v>169</v>
      </c>
      <c r="I20" s="13" t="s">
        <v>169</v>
      </c>
      <c r="J20" s="13" t="s">
        <v>169</v>
      </c>
      <c r="K20" s="13" t="s">
        <v>170</v>
      </c>
      <c r="L20" s="13" t="s">
        <v>169</v>
      </c>
      <c r="M20" s="13" t="s">
        <v>169</v>
      </c>
      <c r="N20" s="13" t="s">
        <v>169</v>
      </c>
      <c r="O20" s="13" t="s">
        <v>170</v>
      </c>
      <c r="P20" s="13" t="s">
        <v>169</v>
      </c>
      <c r="Q20" s="13" t="s">
        <v>169</v>
      </c>
      <c r="R20" s="13" t="s">
        <v>169</v>
      </c>
      <c r="S20" s="13" t="s">
        <v>169</v>
      </c>
    </row>
    <row r="21" spans="1:19" ht="30" customHeight="1" x14ac:dyDescent="0.25">
      <c r="A21" s="33" t="s">
        <v>89</v>
      </c>
      <c r="B21" s="16" t="s">
        <v>90</v>
      </c>
      <c r="C21" s="4">
        <v>3</v>
      </c>
      <c r="D21" s="4" t="s">
        <v>174</v>
      </c>
      <c r="E21" s="4"/>
      <c r="F21" s="13" t="s">
        <v>300</v>
      </c>
      <c r="G21" s="13" t="s">
        <v>170</v>
      </c>
      <c r="H21" s="13" t="s">
        <v>170</v>
      </c>
      <c r="I21" s="13" t="s">
        <v>170</v>
      </c>
      <c r="J21" s="13" t="s">
        <v>170</v>
      </c>
      <c r="K21" s="13" t="s">
        <v>169</v>
      </c>
      <c r="L21" s="13" t="s">
        <v>170</v>
      </c>
      <c r="M21" s="13" t="s">
        <v>170</v>
      </c>
      <c r="N21" s="13" t="s">
        <v>170</v>
      </c>
      <c r="O21" s="13" t="s">
        <v>169</v>
      </c>
      <c r="P21" s="13" t="s">
        <v>170</v>
      </c>
      <c r="Q21" s="13" t="s">
        <v>170</v>
      </c>
      <c r="R21" s="13" t="s">
        <v>170</v>
      </c>
      <c r="S21" s="13" t="s">
        <v>170</v>
      </c>
    </row>
    <row r="22" spans="1:19" ht="30" customHeight="1" x14ac:dyDescent="0.25">
      <c r="A22" s="33" t="s">
        <v>91</v>
      </c>
      <c r="B22" s="17" t="s">
        <v>92</v>
      </c>
      <c r="C22" s="4">
        <v>10</v>
      </c>
      <c r="D22" s="4" t="s">
        <v>181</v>
      </c>
      <c r="E22" s="4"/>
      <c r="F22" s="13" t="s">
        <v>304</v>
      </c>
      <c r="G22" s="13" t="s">
        <v>170</v>
      </c>
      <c r="H22" s="13" t="s">
        <v>170</v>
      </c>
      <c r="I22" s="13" t="s">
        <v>170</v>
      </c>
      <c r="J22" s="13" t="s">
        <v>170</v>
      </c>
      <c r="K22" s="13" t="s">
        <v>169</v>
      </c>
      <c r="L22" s="13" t="s">
        <v>169</v>
      </c>
      <c r="M22" s="13" t="s">
        <v>169</v>
      </c>
      <c r="N22" s="13" t="s">
        <v>169</v>
      </c>
      <c r="O22" s="13" t="s">
        <v>169</v>
      </c>
      <c r="P22" s="13" t="s">
        <v>169</v>
      </c>
      <c r="Q22" s="13" t="s">
        <v>169</v>
      </c>
      <c r="R22" s="13" t="s">
        <v>169</v>
      </c>
      <c r="S22" s="13" t="s">
        <v>169</v>
      </c>
    </row>
    <row r="23" spans="1:19" ht="30" customHeight="1" x14ac:dyDescent="0.25">
      <c r="A23" s="33" t="s">
        <v>93</v>
      </c>
      <c r="B23" s="17" t="s">
        <v>94</v>
      </c>
      <c r="C23" s="4">
        <v>10</v>
      </c>
      <c r="D23" s="4" t="s">
        <v>181</v>
      </c>
      <c r="E23" s="4"/>
      <c r="F23" s="13" t="s">
        <v>304</v>
      </c>
      <c r="G23" s="13" t="s">
        <v>170</v>
      </c>
      <c r="H23" s="13" t="s">
        <v>169</v>
      </c>
      <c r="I23" s="13" t="s">
        <v>169</v>
      </c>
      <c r="J23" s="13" t="s">
        <v>169</v>
      </c>
      <c r="K23" s="13" t="s">
        <v>169</v>
      </c>
      <c r="L23" s="13" t="s">
        <v>169</v>
      </c>
      <c r="M23" s="13" t="s">
        <v>169</v>
      </c>
      <c r="N23" s="13" t="s">
        <v>169</v>
      </c>
      <c r="O23" s="13" t="s">
        <v>169</v>
      </c>
      <c r="P23" s="13" t="s">
        <v>169</v>
      </c>
      <c r="Q23" s="13" t="s">
        <v>169</v>
      </c>
      <c r="R23" s="13" t="s">
        <v>169</v>
      </c>
      <c r="S23" s="13" t="s">
        <v>169</v>
      </c>
    </row>
    <row r="24" spans="1:19" ht="30" customHeight="1" x14ac:dyDescent="0.25">
      <c r="A24" s="33" t="s">
        <v>95</v>
      </c>
      <c r="B24" s="17" t="s">
        <v>96</v>
      </c>
      <c r="C24" s="4">
        <v>10</v>
      </c>
      <c r="D24" s="4" t="s">
        <v>181</v>
      </c>
      <c r="E24" s="4"/>
      <c r="F24" s="13" t="s">
        <v>304</v>
      </c>
      <c r="G24" s="13" t="s">
        <v>170</v>
      </c>
      <c r="H24" s="13" t="s">
        <v>169</v>
      </c>
      <c r="I24" s="13" t="s">
        <v>169</v>
      </c>
      <c r="J24" s="13" t="s">
        <v>169</v>
      </c>
      <c r="K24" s="13" t="s">
        <v>169</v>
      </c>
      <c r="L24" s="13" t="s">
        <v>169</v>
      </c>
      <c r="M24" s="13" t="s">
        <v>169</v>
      </c>
      <c r="N24" s="13" t="s">
        <v>169</v>
      </c>
      <c r="O24" s="13" t="s">
        <v>169</v>
      </c>
      <c r="P24" s="13" t="s">
        <v>169</v>
      </c>
      <c r="Q24" s="13" t="s">
        <v>169</v>
      </c>
      <c r="R24" s="13" t="s">
        <v>169</v>
      </c>
      <c r="S24" s="13" t="s">
        <v>169</v>
      </c>
    </row>
    <row r="25" spans="1:19" ht="30" customHeight="1" x14ac:dyDescent="0.25">
      <c r="A25" s="33" t="s">
        <v>97</v>
      </c>
      <c r="B25" s="17" t="s">
        <v>98</v>
      </c>
      <c r="C25" s="4">
        <v>10</v>
      </c>
      <c r="D25" s="4" t="s">
        <v>181</v>
      </c>
      <c r="E25" s="4"/>
      <c r="F25" s="13" t="s">
        <v>304</v>
      </c>
      <c r="G25" s="13" t="s">
        <v>170</v>
      </c>
      <c r="H25" s="13" t="s">
        <v>169</v>
      </c>
      <c r="I25" s="13" t="s">
        <v>169</v>
      </c>
      <c r="J25" s="13" t="s">
        <v>169</v>
      </c>
      <c r="K25" s="13" t="s">
        <v>169</v>
      </c>
      <c r="L25" s="13" t="s">
        <v>169</v>
      </c>
      <c r="M25" s="13" t="s">
        <v>169</v>
      </c>
      <c r="N25" s="13" t="s">
        <v>169</v>
      </c>
      <c r="O25" s="13" t="s">
        <v>169</v>
      </c>
      <c r="P25" s="13" t="s">
        <v>169</v>
      </c>
      <c r="Q25" s="13" t="s">
        <v>169</v>
      </c>
      <c r="R25" s="13" t="s">
        <v>169</v>
      </c>
      <c r="S25" s="13" t="s">
        <v>169</v>
      </c>
    </row>
    <row r="26" spans="1:19" ht="30" customHeight="1" x14ac:dyDescent="0.25">
      <c r="A26" s="33" t="s">
        <v>99</v>
      </c>
      <c r="B26" s="17" t="s">
        <v>100</v>
      </c>
      <c r="C26" s="4">
        <v>10</v>
      </c>
      <c r="D26" s="4" t="s">
        <v>181</v>
      </c>
      <c r="E26" s="4"/>
      <c r="F26" s="13" t="s">
        <v>304</v>
      </c>
      <c r="G26" s="13" t="s">
        <v>170</v>
      </c>
      <c r="H26" s="13" t="s">
        <v>169</v>
      </c>
      <c r="I26" s="13" t="s">
        <v>169</v>
      </c>
      <c r="J26" s="13" t="s">
        <v>169</v>
      </c>
      <c r="K26" s="13" t="s">
        <v>169</v>
      </c>
      <c r="L26" s="13" t="s">
        <v>169</v>
      </c>
      <c r="M26" s="13" t="s">
        <v>169</v>
      </c>
      <c r="N26" s="13" t="s">
        <v>169</v>
      </c>
      <c r="O26" s="13" t="s">
        <v>169</v>
      </c>
      <c r="P26" s="13" t="s">
        <v>169</v>
      </c>
      <c r="Q26" s="13" t="s">
        <v>169</v>
      </c>
      <c r="R26" s="13" t="s">
        <v>169</v>
      </c>
      <c r="S26" s="13" t="s">
        <v>169</v>
      </c>
    </row>
    <row r="27" spans="1:19" ht="30" customHeight="1" x14ac:dyDescent="0.25">
      <c r="A27" s="33" t="s">
        <v>101</v>
      </c>
      <c r="B27" s="17" t="s">
        <v>102</v>
      </c>
      <c r="C27" s="4">
        <v>10</v>
      </c>
      <c r="D27" s="4" t="s">
        <v>181</v>
      </c>
      <c r="E27" s="4"/>
      <c r="F27" s="13" t="s">
        <v>304</v>
      </c>
      <c r="G27" s="13" t="s">
        <v>170</v>
      </c>
      <c r="H27" s="13" t="s">
        <v>170</v>
      </c>
      <c r="I27" s="13" t="s">
        <v>170</v>
      </c>
      <c r="J27" s="13" t="s">
        <v>170</v>
      </c>
      <c r="K27" s="13" t="s">
        <v>169</v>
      </c>
      <c r="L27" s="13" t="s">
        <v>169</v>
      </c>
      <c r="M27" s="13" t="s">
        <v>169</v>
      </c>
      <c r="N27" s="13" t="s">
        <v>169</v>
      </c>
      <c r="O27" s="13" t="s">
        <v>169</v>
      </c>
      <c r="P27" s="13" t="s">
        <v>169</v>
      </c>
      <c r="Q27" s="13" t="s">
        <v>169</v>
      </c>
      <c r="R27" s="13" t="s">
        <v>169</v>
      </c>
      <c r="S27" s="13" t="s">
        <v>169</v>
      </c>
    </row>
    <row r="28" spans="1:19" ht="30" customHeight="1" x14ac:dyDescent="0.25">
      <c r="A28" s="33" t="s">
        <v>103</v>
      </c>
      <c r="B28" s="17" t="s">
        <v>104</v>
      </c>
      <c r="C28" s="4">
        <v>10</v>
      </c>
      <c r="D28" s="4" t="s">
        <v>181</v>
      </c>
      <c r="E28" s="4"/>
      <c r="F28" s="13" t="s">
        <v>301</v>
      </c>
      <c r="G28" s="13" t="s">
        <v>170</v>
      </c>
      <c r="H28" s="13" t="s">
        <v>170</v>
      </c>
      <c r="I28" s="13" t="s">
        <v>170</v>
      </c>
      <c r="J28" s="13" t="s">
        <v>170</v>
      </c>
      <c r="K28" s="13" t="s">
        <v>169</v>
      </c>
      <c r="L28" s="13" t="s">
        <v>169</v>
      </c>
      <c r="M28" s="13" t="s">
        <v>169</v>
      </c>
      <c r="N28" s="13" t="s">
        <v>169</v>
      </c>
      <c r="O28" s="13" t="s">
        <v>169</v>
      </c>
      <c r="P28" s="13" t="s">
        <v>169</v>
      </c>
      <c r="Q28" s="13" t="s">
        <v>169</v>
      </c>
      <c r="R28" s="13" t="s">
        <v>169</v>
      </c>
      <c r="S28" s="13" t="s">
        <v>169</v>
      </c>
    </row>
    <row r="29" spans="1:19" ht="30" customHeight="1" x14ac:dyDescent="0.25">
      <c r="A29" s="33" t="s">
        <v>105</v>
      </c>
      <c r="B29" s="17" t="s">
        <v>106</v>
      </c>
      <c r="C29" s="4">
        <v>10</v>
      </c>
      <c r="D29" s="4" t="s">
        <v>181</v>
      </c>
      <c r="E29" s="4"/>
      <c r="F29" s="13" t="s">
        <v>302</v>
      </c>
      <c r="G29" s="13" t="s">
        <v>170</v>
      </c>
      <c r="H29" s="13" t="s">
        <v>170</v>
      </c>
      <c r="I29" s="13" t="s">
        <v>169</v>
      </c>
      <c r="J29" s="13" t="s">
        <v>169</v>
      </c>
      <c r="K29" s="13" t="s">
        <v>169</v>
      </c>
      <c r="L29" s="13" t="s">
        <v>169</v>
      </c>
      <c r="M29" s="13" t="s">
        <v>169</v>
      </c>
      <c r="N29" s="13" t="s">
        <v>169</v>
      </c>
      <c r="O29" s="13" t="s">
        <v>169</v>
      </c>
      <c r="P29" s="13" t="s">
        <v>169</v>
      </c>
      <c r="Q29" s="13" t="s">
        <v>169</v>
      </c>
      <c r="R29" s="13" t="s">
        <v>169</v>
      </c>
      <c r="S29" s="13" t="s">
        <v>169</v>
      </c>
    </row>
    <row r="30" spans="1:19" ht="30" customHeight="1" x14ac:dyDescent="0.25">
      <c r="A30" s="49" t="s">
        <v>250</v>
      </c>
      <c r="B30" s="32" t="s">
        <v>251</v>
      </c>
      <c r="C30" s="4">
        <v>5</v>
      </c>
      <c r="D30" s="4" t="s">
        <v>176</v>
      </c>
      <c r="E30" s="4"/>
      <c r="F30" s="13" t="s">
        <v>303</v>
      </c>
      <c r="G30" s="13" t="s">
        <v>170</v>
      </c>
      <c r="H30" s="13" t="s">
        <v>170</v>
      </c>
      <c r="I30" s="13" t="s">
        <v>169</v>
      </c>
      <c r="J30" s="13" t="s">
        <v>169</v>
      </c>
      <c r="K30" s="13" t="s">
        <v>169</v>
      </c>
      <c r="L30" s="13" t="s">
        <v>169</v>
      </c>
      <c r="M30" s="13" t="s">
        <v>169</v>
      </c>
      <c r="N30" s="13" t="s">
        <v>169</v>
      </c>
      <c r="O30" s="13" t="s">
        <v>169</v>
      </c>
      <c r="P30" s="13" t="s">
        <v>169</v>
      </c>
      <c r="Q30" s="13" t="s">
        <v>169</v>
      </c>
      <c r="R30" s="13" t="s">
        <v>169</v>
      </c>
      <c r="S30" s="13" t="s">
        <v>169</v>
      </c>
    </row>
    <row r="31" spans="1:19" ht="30" customHeight="1" x14ac:dyDescent="0.25">
      <c r="A31" s="33" t="s">
        <v>107</v>
      </c>
      <c r="B31" s="17" t="s">
        <v>108</v>
      </c>
      <c r="C31" s="4">
        <v>10</v>
      </c>
      <c r="D31" s="4" t="s">
        <v>181</v>
      </c>
      <c r="E31" s="4"/>
      <c r="F31" s="13" t="s">
        <v>304</v>
      </c>
      <c r="G31" s="13" t="s">
        <v>170</v>
      </c>
      <c r="H31" s="13" t="s">
        <v>170</v>
      </c>
      <c r="I31" s="13" t="s">
        <v>169</v>
      </c>
      <c r="J31" s="13" t="s">
        <v>169</v>
      </c>
      <c r="K31" s="13" t="s">
        <v>169</v>
      </c>
      <c r="L31" s="13" t="s">
        <v>169</v>
      </c>
      <c r="M31" s="13" t="s">
        <v>169</v>
      </c>
      <c r="N31" s="13" t="s">
        <v>169</v>
      </c>
      <c r="O31" s="13" t="s">
        <v>169</v>
      </c>
      <c r="P31" s="13" t="s">
        <v>169</v>
      </c>
      <c r="Q31" s="13" t="s">
        <v>169</v>
      </c>
      <c r="R31" s="13" t="s">
        <v>169</v>
      </c>
      <c r="S31" s="13" t="s">
        <v>169</v>
      </c>
    </row>
    <row r="32" spans="1:19" ht="30" customHeight="1" x14ac:dyDescent="0.25">
      <c r="A32" s="33" t="s">
        <v>109</v>
      </c>
      <c r="B32" s="12" t="s">
        <v>110</v>
      </c>
      <c r="C32" s="4">
        <v>6</v>
      </c>
      <c r="D32" s="4" t="s">
        <v>177</v>
      </c>
      <c r="E32" s="4"/>
      <c r="F32" s="13" t="s">
        <v>305</v>
      </c>
      <c r="G32" s="13" t="s">
        <v>170</v>
      </c>
      <c r="H32" s="13" t="s">
        <v>170</v>
      </c>
      <c r="I32" s="13" t="s">
        <v>169</v>
      </c>
      <c r="J32" s="13" t="s">
        <v>169</v>
      </c>
      <c r="K32" s="13" t="s">
        <v>169</v>
      </c>
      <c r="L32" s="13" t="s">
        <v>169</v>
      </c>
      <c r="M32" s="13" t="s">
        <v>169</v>
      </c>
      <c r="N32" s="13" t="s">
        <v>169</v>
      </c>
      <c r="O32" s="13" t="s">
        <v>169</v>
      </c>
      <c r="P32" s="13" t="s">
        <v>169</v>
      </c>
      <c r="Q32" s="13" t="s">
        <v>169</v>
      </c>
      <c r="R32" s="13" t="s">
        <v>169</v>
      </c>
      <c r="S32" s="13" t="s">
        <v>169</v>
      </c>
    </row>
    <row r="33" spans="1:19" ht="30" customHeight="1" x14ac:dyDescent="0.25">
      <c r="A33" s="33" t="s">
        <v>111</v>
      </c>
      <c r="B33" s="17" t="s">
        <v>112</v>
      </c>
      <c r="C33" s="4">
        <v>10</v>
      </c>
      <c r="D33" s="4" t="s">
        <v>181</v>
      </c>
      <c r="E33" s="4"/>
      <c r="F33" s="13" t="s">
        <v>304</v>
      </c>
      <c r="G33" s="13" t="s">
        <v>170</v>
      </c>
      <c r="H33" s="13" t="s">
        <v>169</v>
      </c>
      <c r="I33" s="13" t="s">
        <v>170</v>
      </c>
      <c r="J33" s="13" t="s">
        <v>169</v>
      </c>
      <c r="K33" s="13" t="s">
        <v>169</v>
      </c>
      <c r="L33" s="13" t="s">
        <v>169</v>
      </c>
      <c r="M33" s="13" t="s">
        <v>169</v>
      </c>
      <c r="N33" s="13" t="s">
        <v>169</v>
      </c>
      <c r="O33" s="13" t="s">
        <v>169</v>
      </c>
      <c r="P33" s="13" t="s">
        <v>169</v>
      </c>
      <c r="Q33" s="13" t="s">
        <v>169</v>
      </c>
      <c r="R33" s="13" t="s">
        <v>169</v>
      </c>
      <c r="S33" s="13" t="s">
        <v>169</v>
      </c>
    </row>
    <row r="34" spans="1:19" ht="30" customHeight="1" x14ac:dyDescent="0.25">
      <c r="A34" s="33" t="s">
        <v>113</v>
      </c>
      <c r="B34" s="17" t="s">
        <v>114</v>
      </c>
      <c r="C34" s="4">
        <v>10</v>
      </c>
      <c r="D34" s="4" t="s">
        <v>181</v>
      </c>
      <c r="E34" s="4"/>
      <c r="F34" s="13" t="s">
        <v>304</v>
      </c>
      <c r="G34" s="13" t="s">
        <v>170</v>
      </c>
      <c r="H34" s="13" t="s">
        <v>169</v>
      </c>
      <c r="I34" s="13" t="s">
        <v>170</v>
      </c>
      <c r="J34" s="13" t="s">
        <v>169</v>
      </c>
      <c r="K34" s="13" t="s">
        <v>169</v>
      </c>
      <c r="L34" s="13" t="s">
        <v>169</v>
      </c>
      <c r="M34" s="13" t="s">
        <v>169</v>
      </c>
      <c r="N34" s="13" t="s">
        <v>169</v>
      </c>
      <c r="O34" s="13" t="s">
        <v>169</v>
      </c>
      <c r="P34" s="13" t="s">
        <v>169</v>
      </c>
      <c r="Q34" s="13" t="s">
        <v>169</v>
      </c>
      <c r="R34" s="13" t="s">
        <v>169</v>
      </c>
      <c r="S34" s="13" t="s">
        <v>169</v>
      </c>
    </row>
    <row r="35" spans="1:19" ht="30" customHeight="1" x14ac:dyDescent="0.25">
      <c r="A35" s="33" t="s">
        <v>115</v>
      </c>
      <c r="B35" s="17" t="s">
        <v>116</v>
      </c>
      <c r="C35" s="4">
        <v>10</v>
      </c>
      <c r="D35" s="4" t="s">
        <v>181</v>
      </c>
      <c r="E35" s="4"/>
      <c r="F35" s="13" t="s">
        <v>304</v>
      </c>
      <c r="G35" s="13" t="s">
        <v>170</v>
      </c>
      <c r="H35" s="13" t="s">
        <v>169</v>
      </c>
      <c r="I35" s="13" t="s">
        <v>170</v>
      </c>
      <c r="J35" s="13" t="s">
        <v>169</v>
      </c>
      <c r="K35" s="13" t="s">
        <v>169</v>
      </c>
      <c r="L35" s="13" t="s">
        <v>169</v>
      </c>
      <c r="M35" s="13" t="s">
        <v>169</v>
      </c>
      <c r="N35" s="13" t="s">
        <v>169</v>
      </c>
      <c r="O35" s="13" t="s">
        <v>169</v>
      </c>
      <c r="P35" s="13" t="s">
        <v>169</v>
      </c>
      <c r="Q35" s="13" t="s">
        <v>169</v>
      </c>
      <c r="R35" s="13" t="s">
        <v>169</v>
      </c>
      <c r="S35" s="13" t="s">
        <v>169</v>
      </c>
    </row>
    <row r="36" spans="1:19" ht="30" customHeight="1" x14ac:dyDescent="0.25">
      <c r="A36" s="33" t="s">
        <v>117</v>
      </c>
      <c r="B36" s="17" t="s">
        <v>118</v>
      </c>
      <c r="C36" s="4">
        <v>10</v>
      </c>
      <c r="D36" s="4" t="s">
        <v>181</v>
      </c>
      <c r="E36" s="4"/>
      <c r="F36" s="13" t="s">
        <v>304</v>
      </c>
      <c r="G36" s="13" t="s">
        <v>170</v>
      </c>
      <c r="H36" s="13" t="s">
        <v>169</v>
      </c>
      <c r="I36" s="13" t="s">
        <v>170</v>
      </c>
      <c r="J36" s="13" t="s">
        <v>169</v>
      </c>
      <c r="K36" s="13" t="s">
        <v>169</v>
      </c>
      <c r="L36" s="13" t="s">
        <v>169</v>
      </c>
      <c r="M36" s="13" t="s">
        <v>169</v>
      </c>
      <c r="N36" s="13" t="s">
        <v>169</v>
      </c>
      <c r="O36" s="13" t="s">
        <v>169</v>
      </c>
      <c r="P36" s="13" t="s">
        <v>169</v>
      </c>
      <c r="Q36" s="13" t="s">
        <v>169</v>
      </c>
      <c r="R36" s="13" t="s">
        <v>169</v>
      </c>
      <c r="S36" s="13" t="s">
        <v>169</v>
      </c>
    </row>
    <row r="37" spans="1:19" ht="30" customHeight="1" x14ac:dyDescent="0.25">
      <c r="A37" s="33" t="s">
        <v>119</v>
      </c>
      <c r="B37" s="17" t="s">
        <v>120</v>
      </c>
      <c r="C37" s="4">
        <v>10</v>
      </c>
      <c r="D37" s="4" t="s">
        <v>181</v>
      </c>
      <c r="E37" s="4"/>
      <c r="F37" s="13" t="s">
        <v>304</v>
      </c>
      <c r="G37" s="13" t="s">
        <v>170</v>
      </c>
      <c r="H37" s="13" t="s">
        <v>169</v>
      </c>
      <c r="I37" s="13" t="s">
        <v>170</v>
      </c>
      <c r="J37" s="13" t="s">
        <v>169</v>
      </c>
      <c r="K37" s="13" t="s">
        <v>169</v>
      </c>
      <c r="L37" s="13" t="s">
        <v>169</v>
      </c>
      <c r="M37" s="13" t="s">
        <v>169</v>
      </c>
      <c r="N37" s="13" t="s">
        <v>169</v>
      </c>
      <c r="O37" s="13" t="s">
        <v>169</v>
      </c>
      <c r="P37" s="13" t="s">
        <v>169</v>
      </c>
      <c r="Q37" s="13" t="s">
        <v>169</v>
      </c>
      <c r="R37" s="13" t="s">
        <v>169</v>
      </c>
      <c r="S37" s="13" t="s">
        <v>169</v>
      </c>
    </row>
    <row r="38" spans="1:19" ht="30" customHeight="1" x14ac:dyDescent="0.25">
      <c r="A38" s="33" t="s">
        <v>121</v>
      </c>
      <c r="B38" s="17" t="s">
        <v>307</v>
      </c>
      <c r="C38" s="4">
        <v>10</v>
      </c>
      <c r="D38" s="4" t="s">
        <v>181</v>
      </c>
      <c r="E38" s="4"/>
      <c r="F38" s="13" t="s">
        <v>304</v>
      </c>
      <c r="G38" s="13" t="s">
        <v>170</v>
      </c>
      <c r="H38" s="13" t="s">
        <v>169</v>
      </c>
      <c r="I38" s="13" t="s">
        <v>170</v>
      </c>
      <c r="J38" s="13" t="s">
        <v>169</v>
      </c>
      <c r="K38" s="13" t="s">
        <v>169</v>
      </c>
      <c r="L38" s="13" t="s">
        <v>169</v>
      </c>
      <c r="M38" s="13" t="s">
        <v>169</v>
      </c>
      <c r="N38" s="13" t="s">
        <v>169</v>
      </c>
      <c r="O38" s="13" t="s">
        <v>169</v>
      </c>
      <c r="P38" s="13" t="s">
        <v>169</v>
      </c>
      <c r="Q38" s="13" t="s">
        <v>169</v>
      </c>
      <c r="R38" s="13" t="s">
        <v>169</v>
      </c>
      <c r="S38" s="13" t="s">
        <v>169</v>
      </c>
    </row>
    <row r="39" spans="1:19" ht="30" customHeight="1" x14ac:dyDescent="0.25">
      <c r="A39" s="33" t="s">
        <v>122</v>
      </c>
      <c r="B39" s="17" t="s">
        <v>123</v>
      </c>
      <c r="C39" s="4">
        <v>5</v>
      </c>
      <c r="D39" s="4" t="s">
        <v>176</v>
      </c>
      <c r="E39" s="4"/>
      <c r="F39" s="13" t="s">
        <v>169</v>
      </c>
      <c r="G39" s="13" t="s">
        <v>169</v>
      </c>
      <c r="H39" s="13" t="s">
        <v>169</v>
      </c>
      <c r="I39" s="13" t="s">
        <v>170</v>
      </c>
      <c r="J39" s="13" t="s">
        <v>169</v>
      </c>
      <c r="K39" s="13" t="s">
        <v>169</v>
      </c>
      <c r="L39" s="13" t="s">
        <v>169</v>
      </c>
      <c r="M39" s="13" t="s">
        <v>169</v>
      </c>
      <c r="N39" s="13" t="s">
        <v>169</v>
      </c>
      <c r="O39" s="13" t="s">
        <v>169</v>
      </c>
      <c r="P39" s="13" t="s">
        <v>169</v>
      </c>
      <c r="Q39" s="13" t="s">
        <v>169</v>
      </c>
      <c r="R39" s="13" t="s">
        <v>169</v>
      </c>
      <c r="S39" s="13" t="s">
        <v>169</v>
      </c>
    </row>
    <row r="40" spans="1:19" ht="30" customHeight="1" x14ac:dyDescent="0.25">
      <c r="A40" s="30" t="s">
        <v>124</v>
      </c>
      <c r="B40" s="8" t="s">
        <v>238</v>
      </c>
      <c r="C40" s="4">
        <v>7</v>
      </c>
      <c r="D40" s="4" t="s">
        <v>178</v>
      </c>
      <c r="E40" s="4"/>
      <c r="F40" s="13" t="s">
        <v>270</v>
      </c>
      <c r="G40" s="13" t="s">
        <v>170</v>
      </c>
      <c r="H40" s="13" t="s">
        <v>169</v>
      </c>
      <c r="I40" s="13" t="s">
        <v>169</v>
      </c>
      <c r="J40" s="13" t="s">
        <v>169</v>
      </c>
      <c r="K40" s="13" t="s">
        <v>169</v>
      </c>
      <c r="L40" s="13" t="s">
        <v>169</v>
      </c>
      <c r="M40" s="13" t="s">
        <v>169</v>
      </c>
      <c r="N40" s="13" t="s">
        <v>169</v>
      </c>
      <c r="O40" s="13" t="s">
        <v>169</v>
      </c>
      <c r="P40" s="13" t="s">
        <v>169</v>
      </c>
      <c r="Q40" s="13" t="s">
        <v>169</v>
      </c>
      <c r="R40" s="13" t="s">
        <v>169</v>
      </c>
      <c r="S40" s="13" t="s">
        <v>169</v>
      </c>
    </row>
    <row r="41" spans="1:19" ht="30" customHeight="1" x14ac:dyDescent="0.25">
      <c r="A41" s="30" t="s">
        <v>125</v>
      </c>
      <c r="B41" s="8" t="s">
        <v>239</v>
      </c>
      <c r="C41" s="4">
        <v>7</v>
      </c>
      <c r="D41" s="4" t="s">
        <v>178</v>
      </c>
      <c r="E41" s="4"/>
      <c r="F41" s="13" t="s">
        <v>126</v>
      </c>
      <c r="G41" s="13" t="s">
        <v>170</v>
      </c>
      <c r="H41" s="13" t="s">
        <v>169</v>
      </c>
      <c r="I41" s="13" t="s">
        <v>169</v>
      </c>
      <c r="J41" s="13" t="s">
        <v>169</v>
      </c>
      <c r="K41" s="13" t="s">
        <v>169</v>
      </c>
      <c r="L41" s="13" t="s">
        <v>169</v>
      </c>
      <c r="M41" s="13" t="s">
        <v>169</v>
      </c>
      <c r="N41" s="13" t="s">
        <v>169</v>
      </c>
      <c r="O41" s="13" t="s">
        <v>169</v>
      </c>
      <c r="P41" s="13" t="s">
        <v>169</v>
      </c>
      <c r="Q41" s="13" t="s">
        <v>169</v>
      </c>
      <c r="R41" s="13" t="s">
        <v>169</v>
      </c>
      <c r="S41" s="13" t="s">
        <v>169</v>
      </c>
    </row>
    <row r="42" spans="1:19" ht="30" customHeight="1" x14ac:dyDescent="0.25">
      <c r="A42" s="30" t="s">
        <v>127</v>
      </c>
      <c r="B42" s="17" t="s">
        <v>128</v>
      </c>
      <c r="C42" s="4">
        <v>10</v>
      </c>
      <c r="D42" s="4" t="s">
        <v>181</v>
      </c>
      <c r="E42" s="4"/>
      <c r="F42" s="13" t="s">
        <v>302</v>
      </c>
      <c r="G42" s="13" t="s">
        <v>170</v>
      </c>
      <c r="H42" s="11" t="s">
        <v>169</v>
      </c>
      <c r="I42" s="11" t="s">
        <v>169</v>
      </c>
      <c r="J42" s="11" t="s">
        <v>169</v>
      </c>
      <c r="K42" s="11" t="s">
        <v>169</v>
      </c>
      <c r="L42" s="13" t="s">
        <v>170</v>
      </c>
      <c r="M42" s="11" t="s">
        <v>169</v>
      </c>
      <c r="N42" s="11" t="s">
        <v>169</v>
      </c>
      <c r="O42" s="11" t="s">
        <v>169</v>
      </c>
      <c r="P42" s="11" t="s">
        <v>169</v>
      </c>
      <c r="Q42" s="11" t="s">
        <v>169</v>
      </c>
      <c r="R42" s="11" t="s">
        <v>169</v>
      </c>
      <c r="S42" s="11" t="s">
        <v>169</v>
      </c>
    </row>
    <row r="43" spans="1:19" ht="30" customHeight="1" x14ac:dyDescent="0.25">
      <c r="A43" s="30" t="s">
        <v>129</v>
      </c>
      <c r="B43" s="17" t="s">
        <v>130</v>
      </c>
      <c r="C43" s="4">
        <v>10</v>
      </c>
      <c r="D43" s="4" t="s">
        <v>181</v>
      </c>
      <c r="E43" s="4"/>
      <c r="F43" s="13" t="s">
        <v>302</v>
      </c>
      <c r="G43" s="11" t="s">
        <v>169</v>
      </c>
      <c r="H43" s="11" t="s">
        <v>169</v>
      </c>
      <c r="I43" s="11" t="s">
        <v>169</v>
      </c>
      <c r="J43" s="11" t="s">
        <v>169</v>
      </c>
      <c r="K43" s="11" t="s">
        <v>169</v>
      </c>
      <c r="L43" s="11" t="s">
        <v>169</v>
      </c>
      <c r="M43" s="11" t="s">
        <v>169</v>
      </c>
      <c r="N43" s="11" t="s">
        <v>169</v>
      </c>
      <c r="O43" s="11" t="s">
        <v>169</v>
      </c>
      <c r="P43" s="13" t="s">
        <v>170</v>
      </c>
      <c r="Q43" s="11" t="s">
        <v>169</v>
      </c>
      <c r="R43" s="11" t="s">
        <v>169</v>
      </c>
      <c r="S43" s="11" t="s">
        <v>169</v>
      </c>
    </row>
    <row r="44" spans="1:19" ht="30" customHeight="1" x14ac:dyDescent="0.25">
      <c r="A44" s="80" t="s">
        <v>271</v>
      </c>
      <c r="B44" s="40" t="s">
        <v>272</v>
      </c>
      <c r="C44" s="41">
        <v>10</v>
      </c>
      <c r="D44" s="4" t="s">
        <v>181</v>
      </c>
      <c r="E44" s="41"/>
      <c r="F44" s="13" t="s">
        <v>169</v>
      </c>
      <c r="G44" s="42"/>
      <c r="H44" s="44"/>
      <c r="I44" s="44"/>
      <c r="J44" s="44"/>
      <c r="K44" s="44"/>
      <c r="L44" s="13" t="s">
        <v>170</v>
      </c>
      <c r="M44" s="44"/>
      <c r="N44" s="44"/>
      <c r="O44" s="44"/>
      <c r="P44" s="13" t="s">
        <v>170</v>
      </c>
      <c r="Q44" s="44"/>
      <c r="R44" s="44"/>
      <c r="S44" s="44"/>
    </row>
  </sheetData>
  <hyperlinks>
    <hyperlink ref="B2" r:id="rId1" display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xr:uid="{1E89E5D2-E5CB-4A2A-993F-6F2B57C37C55}"/>
    <hyperlink ref="B12" r:id="rId2" display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xr:uid="{DB4361C1-1245-445D-987B-BBA8B016B2A5}"/>
    <hyperlink ref="B10" r:id="rId3" display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xr:uid="{914EED46-5796-4E50-8EEA-BAAF005C4DF1}"/>
    <hyperlink ref="B32" r:id="rId4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B085DE7E-6D62-42D5-939D-C664F4B14932}"/>
    <hyperlink ref="B13" r:id="rId5" xr:uid="{DA936C14-B014-42EE-AE36-6AB9DDA395C7}"/>
    <hyperlink ref="B15" r:id="rId6" xr:uid="{C55AED97-C0AA-4B5F-8EE5-4F250F828DCF}"/>
    <hyperlink ref="B16" r:id="rId7" xr:uid="{E0AB18C4-C52D-472D-88EA-B50EF40A0FEA}"/>
    <hyperlink ref="B17" r:id="rId8" xr:uid="{B5BDEA2A-EAAC-449A-8DE7-57555C364B18}"/>
    <hyperlink ref="B18" r:id="rId9" xr:uid="{9640D9E7-A36A-4492-A333-5164ECA291DC}"/>
    <hyperlink ref="B19" r:id="rId10" xr:uid="{2FDB6BCC-8F4B-4550-BD08-45F5ABBB0944}"/>
    <hyperlink ref="B28" r:id="rId11" xr:uid="{77A61E1A-B655-4BCC-A61F-5D29879923BA}"/>
    <hyperlink ref="B27" r:id="rId12" xr:uid="{79E195BE-9045-49B5-BA94-B9E792EC8FE3}"/>
    <hyperlink ref="B26" r:id="rId13" xr:uid="{4171D3BB-747E-4253-87BA-7F405F19CA0B}"/>
    <hyperlink ref="B25" r:id="rId14" xr:uid="{F37C2DF9-D0A9-4BDF-9B18-2F2323E714A8}"/>
    <hyperlink ref="B24" r:id="rId15" xr:uid="{B83AE2B3-7B5D-4D69-B4B1-B5DEF25F5D30}"/>
    <hyperlink ref="B23" r:id="rId16" xr:uid="{8511B955-B1F5-489B-82A9-48CD517DCF72}"/>
    <hyperlink ref="B29" r:id="rId17" xr:uid="{A5FE44BD-B5A8-4CA3-821F-564E8131A61E}"/>
    <hyperlink ref="B31" r:id="rId18" xr:uid="{4F6911E6-3B11-404B-998D-2F638CEA3F37}"/>
    <hyperlink ref="B33" r:id="rId19" xr:uid="{3D525BF6-70E6-456B-8393-7C6D22214716}"/>
    <hyperlink ref="B34" r:id="rId20" xr:uid="{A73E60BD-C611-48A9-81EB-DED366F08E2E}"/>
    <hyperlink ref="B14" r:id="rId21" xr:uid="{298B5418-38C8-4527-AB60-BF13200BE7BC}"/>
    <hyperlink ref="B39" r:id="rId22" xr:uid="{401C12B7-1DB8-479D-9933-1A12A1D0689B}"/>
    <hyperlink ref="B35" r:id="rId23" xr:uid="{A90A1299-A0F7-4831-8E94-08A656365385}"/>
    <hyperlink ref="B36" r:id="rId24" xr:uid="{2B9B2FCE-149A-49F8-BC85-435C0B99E822}"/>
    <hyperlink ref="B37" r:id="rId25" xr:uid="{C588DE9B-15F9-4160-BEC9-DEAF369DDBF9}"/>
    <hyperlink ref="B42" r:id="rId26" xr:uid="{7D93C0C6-5BF7-4B28-87A4-EE8DA9C2B2E6}"/>
    <hyperlink ref="B43" r:id="rId27" xr:uid="{79FB83CB-48A9-4738-BD33-171335BFBE35}"/>
    <hyperlink ref="B20" r:id="rId28" xr:uid="{E2BDBB20-8598-4EA1-819B-57390CF0CA94}"/>
    <hyperlink ref="B21" r:id="rId29" xr:uid="{5BF83590-93B4-43D1-96BB-137F95ECB0EE}"/>
    <hyperlink ref="B22" r:id="rId30" xr:uid="{A71B1A70-5C35-4F24-8322-17FD6E400181}"/>
    <hyperlink ref="B40" r:id="rId31" xr:uid="{7BC1A40E-4F18-45D4-B837-D1D6EA2118B1}"/>
    <hyperlink ref="B41" r:id="rId32" xr:uid="{24E4C646-A389-4A99-9BCF-7DC035E9B18D}"/>
    <hyperlink ref="B44" r:id="rId33" xr:uid="{13D7601D-ED4D-429D-82E0-F5168447C5DE}"/>
    <hyperlink ref="B11" r:id="rId34" xr:uid="{2D04C698-CD79-4D68-96F1-59E720A32132}"/>
    <hyperlink ref="B30" r:id="rId35" xr:uid="{A2969D49-B543-42D1-9C8C-31489AF20AF5}"/>
    <hyperlink ref="B3" r:id="rId36" display="https://mylearning.sumtotal.host/rcore/c/pillarRedirect?isDeepLink=1&amp;relyingParty=LM&amp;url=https%3A%2F%2Fmylearning.sumtotal.host%2Flearning%2Fcore%2Factivitydetails%2FViewActivityDetails%3FUserMode%3D0%26ActivityId%3D10778%26ClassUnderStruct%3DFalse%26CallerUrl%3D%2Flearning%2Flearner%2FHome%2FGoToPortal%3Fkey%3D0%26SearchCallerURL%3Dhttps%253A%252F%252Fmylearning.sumtotal.host%252Fcore%252FsearchRedirect%253FViewType%253DList%2526SearchText%253Dbrand%25252520orientation%2526startRow%253D0%26SearchCallerID%3D2" xr:uid="{0ECC058A-CF9F-44F3-81F4-58D1C2A87309}"/>
    <hyperlink ref="B4" r:id="rId37" display="https://mylearning.sumtotal.host/rcore/c/pillarRedirect?isDeepLink=1&amp;relyingParty=LM&amp;url=https%3A%2F%2Fmylearning.sumtotal.host%2Flearning%2Fcore%2Factivitydetails%2FViewActivityDetails%3FUserMode%3D0%26ActivityId%3D10779%26ClassUnderStruct%3DFalse%26CallerUrl%3D%2Flearning%2Flearner%2FHome%2FGoToPortal%3Fkey%3D0%26SearchCallerURL%3Dhttps%253A%252F%252Fmylearning.sumtotal.host%252Fcore%252FsearchRedirect%253FViewType%253DList%2526SearchText%253Dbrand%25252520experience%2526startRow%253D0%26SearchCallerID%3D2" xr:uid="{65300CEA-CAD0-45A8-8CD5-D4C61FE5F369}"/>
    <hyperlink ref="B9" r:id="rId38" display="Hotel Experience Champion Guide" xr:uid="{C20FDD93-7F35-4D54-8EE9-2E7414358E90}"/>
    <hyperlink ref="B5" r:id="rId39" display="Managed Hotel - Leaders Guide" xr:uid="{C1034277-4DD6-4969-BA2E-9CC9349D79FC}"/>
    <hyperlink ref="B6" r:id="rId40" xr:uid="{B8B7A1C5-40E2-4B51-BEB3-3969521D5AB4}"/>
    <hyperlink ref="B7" r:id="rId41" xr:uid="{218CB0AC-D1B7-40E7-B4B0-404811523E6B}"/>
    <hyperlink ref="B8" r:id="rId42" xr:uid="{D36300EF-F0D5-4286-B0F8-254BE1D37AEE}"/>
    <hyperlink ref="B38" r:id="rId43" display="IHG53503" xr:uid="{79A1F0AC-ACD9-48EC-81DF-C87ECA0E32F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DF689-445D-4921-94C0-C67C64719391}">
  <sheetPr codeName="Sheet11">
    <tabColor rgb="FFF8B90D"/>
  </sheetPr>
  <dimension ref="A1:X52"/>
  <sheetViews>
    <sheetView zoomScale="85" zoomScaleNormal="85" workbookViewId="0">
      <pane ySplit="1" topLeftCell="A14" activePane="bottomLeft" state="frozen"/>
      <selection activeCell="B1" sqref="B1:B1048576"/>
      <selection pane="bottomLeft" activeCell="D19" sqref="D19"/>
    </sheetView>
  </sheetViews>
  <sheetFormatPr defaultColWidth="9.140625" defaultRowHeight="30" customHeight="1" x14ac:dyDescent="0.25"/>
  <cols>
    <col min="1" max="1" width="48.7109375" style="39" customWidth="1"/>
    <col min="2" max="2" width="16.7109375" style="28" customWidth="1"/>
    <col min="3" max="5" width="22.7109375" style="9" customWidth="1"/>
    <col min="6" max="6" width="31.7109375" style="28" customWidth="1"/>
    <col min="7" max="19" width="19.5703125" style="28" customWidth="1"/>
    <col min="20" max="24" width="9.140625" style="28"/>
    <col min="25" max="16384" width="9.140625" style="24"/>
  </cols>
  <sheetData>
    <row r="1" spans="1:19" ht="30" customHeight="1" x14ac:dyDescent="0.25">
      <c r="A1" s="33" t="s">
        <v>28</v>
      </c>
      <c r="B1" s="13" t="s">
        <v>50</v>
      </c>
      <c r="C1" s="4" t="s">
        <v>182</v>
      </c>
      <c r="D1" s="4" t="s">
        <v>183</v>
      </c>
      <c r="E1" s="4" t="s">
        <v>184</v>
      </c>
      <c r="F1" s="13" t="s">
        <v>51</v>
      </c>
      <c r="G1" s="13" t="s">
        <v>52</v>
      </c>
      <c r="H1" s="13" t="s">
        <v>53</v>
      </c>
      <c r="I1" s="13" t="s">
        <v>54</v>
      </c>
      <c r="J1" s="13" t="s">
        <v>55</v>
      </c>
      <c r="K1" s="13" t="s">
        <v>56</v>
      </c>
      <c r="L1" s="13" t="s">
        <v>57</v>
      </c>
      <c r="M1" s="13" t="s">
        <v>58</v>
      </c>
      <c r="N1" s="13" t="s">
        <v>59</v>
      </c>
      <c r="O1" s="13" t="s">
        <v>60</v>
      </c>
      <c r="P1" s="13" t="s">
        <v>61</v>
      </c>
      <c r="Q1" s="13" t="s">
        <v>62</v>
      </c>
      <c r="R1" s="13" t="s">
        <v>63</v>
      </c>
      <c r="S1" s="13" t="s">
        <v>64</v>
      </c>
    </row>
    <row r="2" spans="1:19" ht="30" customHeight="1" x14ac:dyDescent="0.25">
      <c r="A2" s="30" t="s">
        <v>65</v>
      </c>
      <c r="B2" s="12" t="s">
        <v>66</v>
      </c>
      <c r="C2" s="4">
        <v>3</v>
      </c>
      <c r="D2" s="4" t="s">
        <v>174</v>
      </c>
      <c r="E2" s="4"/>
      <c r="F2" s="13" t="s">
        <v>294</v>
      </c>
      <c r="G2" s="13" t="s">
        <v>170</v>
      </c>
      <c r="H2" s="13" t="s">
        <v>170</v>
      </c>
      <c r="I2" s="13" t="s">
        <v>170</v>
      </c>
      <c r="J2" s="13" t="s">
        <v>170</v>
      </c>
      <c r="K2" s="13" t="s">
        <v>170</v>
      </c>
      <c r="L2" s="13" t="s">
        <v>170</v>
      </c>
      <c r="M2" s="13" t="s">
        <v>170</v>
      </c>
      <c r="N2" s="13" t="s">
        <v>170</v>
      </c>
      <c r="O2" s="13" t="s">
        <v>170</v>
      </c>
      <c r="P2" s="13" t="s">
        <v>170</v>
      </c>
      <c r="Q2" s="13" t="s">
        <v>170</v>
      </c>
      <c r="R2" s="13" t="s">
        <v>170</v>
      </c>
      <c r="S2" s="13" t="s">
        <v>170</v>
      </c>
    </row>
    <row r="3" spans="1:19" ht="30" customHeight="1" x14ac:dyDescent="0.25">
      <c r="A3" s="33" t="s">
        <v>143</v>
      </c>
      <c r="B3" s="12" t="s">
        <v>144</v>
      </c>
      <c r="C3" s="4">
        <v>3</v>
      </c>
      <c r="D3" s="4" t="s">
        <v>174</v>
      </c>
      <c r="E3" s="4"/>
      <c r="F3" s="13" t="s">
        <v>310</v>
      </c>
      <c r="G3" s="13" t="s">
        <v>170</v>
      </c>
      <c r="H3" s="13" t="s">
        <v>170</v>
      </c>
      <c r="I3" s="13" t="s">
        <v>170</v>
      </c>
      <c r="J3" s="13" t="s">
        <v>170</v>
      </c>
      <c r="K3" s="13" t="s">
        <v>170</v>
      </c>
      <c r="L3" s="13" t="s">
        <v>170</v>
      </c>
      <c r="M3" s="13" t="s">
        <v>170</v>
      </c>
      <c r="N3" s="13" t="s">
        <v>170</v>
      </c>
      <c r="O3" s="13" t="s">
        <v>170</v>
      </c>
      <c r="P3" s="13" t="s">
        <v>170</v>
      </c>
      <c r="Q3" s="13" t="s">
        <v>170</v>
      </c>
      <c r="R3" s="13" t="s">
        <v>170</v>
      </c>
      <c r="S3" s="13" t="s">
        <v>170</v>
      </c>
    </row>
    <row r="4" spans="1:19" ht="30" customHeight="1" x14ac:dyDescent="0.25">
      <c r="A4" s="33" t="s">
        <v>145</v>
      </c>
      <c r="B4" s="12" t="s">
        <v>146</v>
      </c>
      <c r="C4" s="4">
        <v>3</v>
      </c>
      <c r="D4" s="4" t="s">
        <v>174</v>
      </c>
      <c r="E4" s="4"/>
      <c r="F4" s="13" t="s">
        <v>312</v>
      </c>
      <c r="G4" s="13" t="s">
        <v>170</v>
      </c>
      <c r="H4" s="13" t="s">
        <v>170</v>
      </c>
      <c r="I4" s="13" t="s">
        <v>170</v>
      </c>
      <c r="J4" s="13" t="s">
        <v>170</v>
      </c>
      <c r="K4" s="13" t="s">
        <v>170</v>
      </c>
      <c r="L4" s="13" t="s">
        <v>170</v>
      </c>
      <c r="M4" s="13" t="s">
        <v>170</v>
      </c>
      <c r="N4" s="13" t="s">
        <v>170</v>
      </c>
      <c r="O4" s="13" t="s">
        <v>170</v>
      </c>
      <c r="P4" s="13" t="s">
        <v>170</v>
      </c>
      <c r="Q4" s="13" t="s">
        <v>170</v>
      </c>
      <c r="R4" s="13" t="s">
        <v>170</v>
      </c>
      <c r="S4" s="13" t="s">
        <v>170</v>
      </c>
    </row>
    <row r="5" spans="1:19" ht="30" customHeight="1" x14ac:dyDescent="0.25">
      <c r="A5" s="33" t="s">
        <v>292</v>
      </c>
      <c r="B5" s="16" t="s">
        <v>286</v>
      </c>
      <c r="C5" s="4">
        <v>3</v>
      </c>
      <c r="D5" s="4" t="s">
        <v>174</v>
      </c>
      <c r="E5" s="4"/>
      <c r="F5" s="13" t="s">
        <v>290</v>
      </c>
      <c r="G5" s="13" t="s">
        <v>170</v>
      </c>
      <c r="H5" s="13" t="s">
        <v>170</v>
      </c>
      <c r="I5" s="13" t="s">
        <v>170</v>
      </c>
      <c r="J5" s="13" t="s">
        <v>170</v>
      </c>
      <c r="K5" s="13" t="s">
        <v>170</v>
      </c>
      <c r="L5" s="13" t="s">
        <v>170</v>
      </c>
      <c r="M5" s="13" t="s">
        <v>170</v>
      </c>
      <c r="N5" s="13"/>
      <c r="O5" s="13"/>
      <c r="P5" s="13"/>
      <c r="Q5" s="13"/>
      <c r="R5" s="13" t="s">
        <v>170</v>
      </c>
      <c r="S5" s="13"/>
    </row>
    <row r="6" spans="1:19" ht="30" customHeight="1" x14ac:dyDescent="0.25">
      <c r="A6" s="33" t="s">
        <v>292</v>
      </c>
      <c r="B6" s="16" t="s">
        <v>287</v>
      </c>
      <c r="C6" s="4">
        <v>3</v>
      </c>
      <c r="D6" s="4" t="s">
        <v>174</v>
      </c>
      <c r="E6" s="4"/>
      <c r="F6" s="13" t="s">
        <v>290</v>
      </c>
      <c r="G6" s="13"/>
      <c r="H6" s="13"/>
      <c r="I6" s="13"/>
      <c r="J6" s="13"/>
      <c r="K6" s="13"/>
      <c r="L6" s="13"/>
      <c r="M6" s="13"/>
      <c r="N6" s="13" t="s">
        <v>170</v>
      </c>
      <c r="O6" s="13" t="s">
        <v>170</v>
      </c>
      <c r="P6" s="13" t="s">
        <v>170</v>
      </c>
      <c r="Q6" s="13" t="s">
        <v>170</v>
      </c>
      <c r="R6" s="13"/>
      <c r="S6" s="13" t="s">
        <v>170</v>
      </c>
    </row>
    <row r="7" spans="1:19" ht="30" customHeight="1" x14ac:dyDescent="0.25">
      <c r="A7" s="33" t="s">
        <v>293</v>
      </c>
      <c r="B7" s="16" t="s">
        <v>288</v>
      </c>
      <c r="C7" s="4">
        <v>3</v>
      </c>
      <c r="D7" s="4" t="s">
        <v>174</v>
      </c>
      <c r="E7" s="4"/>
      <c r="F7" s="13" t="s">
        <v>291</v>
      </c>
      <c r="G7" s="13" t="s">
        <v>170</v>
      </c>
      <c r="H7" s="13" t="s">
        <v>170</v>
      </c>
      <c r="I7" s="13" t="s">
        <v>170</v>
      </c>
      <c r="J7" s="13" t="s">
        <v>170</v>
      </c>
      <c r="K7" s="13" t="s">
        <v>170</v>
      </c>
      <c r="L7" s="13" t="s">
        <v>170</v>
      </c>
      <c r="M7" s="13" t="s">
        <v>170</v>
      </c>
      <c r="N7" s="13"/>
      <c r="O7" s="13"/>
      <c r="P7" s="13"/>
      <c r="Q7" s="13"/>
      <c r="R7" s="13" t="s">
        <v>170</v>
      </c>
      <c r="S7" s="13"/>
    </row>
    <row r="8" spans="1:19" ht="30" customHeight="1" x14ac:dyDescent="0.25">
      <c r="A8" s="33" t="s">
        <v>293</v>
      </c>
      <c r="B8" s="16" t="s">
        <v>289</v>
      </c>
      <c r="C8" s="4">
        <v>3</v>
      </c>
      <c r="D8" s="4" t="s">
        <v>174</v>
      </c>
      <c r="E8" s="4"/>
      <c r="F8" s="13" t="s">
        <v>291</v>
      </c>
      <c r="G8" s="13"/>
      <c r="H8" s="13"/>
      <c r="I8" s="13"/>
      <c r="J8" s="13"/>
      <c r="K8" s="13"/>
      <c r="L8" s="13"/>
      <c r="M8" s="13"/>
      <c r="N8" s="13" t="s">
        <v>170</v>
      </c>
      <c r="O8" s="13" t="s">
        <v>170</v>
      </c>
      <c r="P8" s="13" t="s">
        <v>170</v>
      </c>
      <c r="Q8" s="13" t="s">
        <v>170</v>
      </c>
      <c r="R8" s="13"/>
      <c r="S8" s="13" t="s">
        <v>170</v>
      </c>
    </row>
    <row r="9" spans="1:19" ht="30" customHeight="1" x14ac:dyDescent="0.25">
      <c r="A9" s="33" t="s">
        <v>69</v>
      </c>
      <c r="B9" s="16" t="s">
        <v>285</v>
      </c>
      <c r="C9" s="4">
        <v>3</v>
      </c>
      <c r="D9" s="4" t="s">
        <v>174</v>
      </c>
      <c r="E9" s="4"/>
      <c r="F9" s="4" t="s">
        <v>284</v>
      </c>
      <c r="G9" s="13" t="s">
        <v>170</v>
      </c>
      <c r="H9" s="13" t="s">
        <v>169</v>
      </c>
      <c r="I9" s="13" t="s">
        <v>169</v>
      </c>
      <c r="J9" s="13" t="s">
        <v>169</v>
      </c>
      <c r="K9" s="13" t="s">
        <v>169</v>
      </c>
      <c r="L9" s="13" t="s">
        <v>169</v>
      </c>
      <c r="M9" s="13" t="s">
        <v>169</v>
      </c>
      <c r="N9" s="13" t="s">
        <v>169</v>
      </c>
      <c r="O9" s="13" t="s">
        <v>169</v>
      </c>
      <c r="P9" s="13" t="s">
        <v>169</v>
      </c>
      <c r="Q9" s="13" t="s">
        <v>169</v>
      </c>
      <c r="R9" s="13" t="s">
        <v>169</v>
      </c>
      <c r="S9" s="13" t="s">
        <v>169</v>
      </c>
    </row>
    <row r="10" spans="1:19" ht="30" customHeight="1" x14ac:dyDescent="0.25">
      <c r="A10" s="33" t="s">
        <v>70</v>
      </c>
      <c r="B10" s="12" t="s">
        <v>71</v>
      </c>
      <c r="C10" s="4">
        <v>4</v>
      </c>
      <c r="D10" s="4" t="s">
        <v>175</v>
      </c>
      <c r="E10" s="4"/>
      <c r="F10" s="13" t="s">
        <v>295</v>
      </c>
      <c r="G10" s="13" t="s">
        <v>170</v>
      </c>
      <c r="H10" s="13" t="s">
        <v>170</v>
      </c>
      <c r="I10" s="13" t="s">
        <v>170</v>
      </c>
      <c r="J10" s="13" t="s">
        <v>170</v>
      </c>
      <c r="K10" s="13" t="s">
        <v>170</v>
      </c>
      <c r="L10" s="13" t="s">
        <v>170</v>
      </c>
      <c r="M10" s="13" t="s">
        <v>170</v>
      </c>
      <c r="N10" s="13" t="s">
        <v>169</v>
      </c>
      <c r="O10" s="13" t="s">
        <v>169</v>
      </c>
      <c r="P10" s="13" t="s">
        <v>169</v>
      </c>
      <c r="Q10" s="13" t="s">
        <v>169</v>
      </c>
      <c r="R10" s="13" t="s">
        <v>170</v>
      </c>
      <c r="S10" s="13" t="s">
        <v>169</v>
      </c>
    </row>
    <row r="11" spans="1:19" ht="30" customHeight="1" x14ac:dyDescent="0.25">
      <c r="A11" s="33" t="s">
        <v>274</v>
      </c>
      <c r="B11" s="3" t="s">
        <v>274</v>
      </c>
      <c r="C11" s="4">
        <v>10</v>
      </c>
      <c r="D11" s="4" t="s">
        <v>181</v>
      </c>
      <c r="E11" s="4"/>
      <c r="F11" s="13" t="s">
        <v>273</v>
      </c>
      <c r="G11" s="13" t="s">
        <v>170</v>
      </c>
      <c r="H11" s="13" t="s">
        <v>170</v>
      </c>
      <c r="I11" s="13" t="s">
        <v>170</v>
      </c>
      <c r="J11" s="13" t="s">
        <v>170</v>
      </c>
      <c r="K11" s="13" t="s">
        <v>170</v>
      </c>
      <c r="L11" s="13" t="s">
        <v>170</v>
      </c>
      <c r="M11" s="13" t="s">
        <v>170</v>
      </c>
      <c r="N11" s="13" t="s">
        <v>169</v>
      </c>
      <c r="O11" s="13" t="s">
        <v>169</v>
      </c>
      <c r="P11" s="13" t="s">
        <v>169</v>
      </c>
      <c r="Q11" s="13" t="s">
        <v>169</v>
      </c>
      <c r="R11" s="13" t="s">
        <v>170</v>
      </c>
      <c r="S11" s="13" t="s">
        <v>169</v>
      </c>
    </row>
    <row r="12" spans="1:19" ht="30" customHeight="1" x14ac:dyDescent="0.25">
      <c r="A12" s="33" t="s">
        <v>168</v>
      </c>
      <c r="B12" s="12" t="s">
        <v>72</v>
      </c>
      <c r="C12" s="4">
        <v>3</v>
      </c>
      <c r="D12" s="4" t="s">
        <v>174</v>
      </c>
      <c r="E12" s="4"/>
      <c r="F12" s="13" t="s">
        <v>296</v>
      </c>
      <c r="G12" s="13" t="s">
        <v>170</v>
      </c>
      <c r="H12" s="13" t="s">
        <v>170</v>
      </c>
      <c r="I12" s="13" t="s">
        <v>170</v>
      </c>
      <c r="J12" s="13" t="s">
        <v>170</v>
      </c>
      <c r="K12" s="13" t="s">
        <v>170</v>
      </c>
      <c r="L12" s="13" t="s">
        <v>170</v>
      </c>
      <c r="M12" s="13" t="s">
        <v>170</v>
      </c>
      <c r="N12" s="13" t="s">
        <v>170</v>
      </c>
      <c r="O12" s="13" t="s">
        <v>170</v>
      </c>
      <c r="P12" s="13" t="s">
        <v>170</v>
      </c>
      <c r="Q12" s="13" t="s">
        <v>170</v>
      </c>
      <c r="R12" s="13" t="s">
        <v>170</v>
      </c>
      <c r="S12" s="13" t="s">
        <v>170</v>
      </c>
    </row>
    <row r="13" spans="1:19" ht="30" customHeight="1" x14ac:dyDescent="0.25">
      <c r="A13" s="33" t="s">
        <v>73</v>
      </c>
      <c r="B13" s="17" t="s">
        <v>74</v>
      </c>
      <c r="C13" s="4">
        <v>3</v>
      </c>
      <c r="D13" s="4" t="s">
        <v>174</v>
      </c>
      <c r="E13" s="4"/>
      <c r="F13" s="13" t="s">
        <v>297</v>
      </c>
      <c r="G13" s="13" t="s">
        <v>170</v>
      </c>
      <c r="H13" s="13" t="s">
        <v>170</v>
      </c>
      <c r="I13" s="13" t="s">
        <v>170</v>
      </c>
      <c r="J13" s="13" t="s">
        <v>170</v>
      </c>
      <c r="K13" s="13" t="s">
        <v>170</v>
      </c>
      <c r="L13" s="13" t="s">
        <v>170</v>
      </c>
      <c r="M13" s="13" t="s">
        <v>170</v>
      </c>
      <c r="N13" s="13" t="s">
        <v>170</v>
      </c>
      <c r="O13" s="13" t="s">
        <v>170</v>
      </c>
      <c r="P13" s="13" t="s">
        <v>170</v>
      </c>
      <c r="Q13" s="13" t="s">
        <v>170</v>
      </c>
      <c r="R13" s="13" t="s">
        <v>170</v>
      </c>
      <c r="S13" s="13" t="s">
        <v>170</v>
      </c>
    </row>
    <row r="14" spans="1:19" ht="30" customHeight="1" x14ac:dyDescent="0.25">
      <c r="A14" s="33" t="s">
        <v>75</v>
      </c>
      <c r="B14" s="17" t="s">
        <v>76</v>
      </c>
      <c r="C14" s="4">
        <v>3</v>
      </c>
      <c r="D14" s="4" t="s">
        <v>174</v>
      </c>
      <c r="E14" s="4"/>
      <c r="F14" s="13" t="s">
        <v>297</v>
      </c>
      <c r="G14" s="13" t="s">
        <v>170</v>
      </c>
      <c r="H14" s="13" t="s">
        <v>170</v>
      </c>
      <c r="I14" s="13" t="s">
        <v>170</v>
      </c>
      <c r="J14" s="13" t="s">
        <v>170</v>
      </c>
      <c r="K14" s="13" t="s">
        <v>170</v>
      </c>
      <c r="L14" s="13" t="s">
        <v>170</v>
      </c>
      <c r="M14" s="13" t="s">
        <v>170</v>
      </c>
      <c r="N14" s="13" t="s">
        <v>169</v>
      </c>
      <c r="O14" s="13" t="s">
        <v>169</v>
      </c>
      <c r="P14" s="13" t="s">
        <v>169</v>
      </c>
      <c r="Q14" s="13" t="s">
        <v>169</v>
      </c>
      <c r="R14" s="13" t="s">
        <v>170</v>
      </c>
      <c r="S14" s="13" t="s">
        <v>169</v>
      </c>
    </row>
    <row r="15" spans="1:19" ht="30" customHeight="1" x14ac:dyDescent="0.25">
      <c r="A15" s="33" t="s">
        <v>77</v>
      </c>
      <c r="B15" s="17" t="s">
        <v>78</v>
      </c>
      <c r="C15" s="4">
        <v>3</v>
      </c>
      <c r="D15" s="4" t="s">
        <v>174</v>
      </c>
      <c r="E15" s="4"/>
      <c r="F15" s="13" t="s">
        <v>297</v>
      </c>
      <c r="G15" s="13" t="s">
        <v>170</v>
      </c>
      <c r="H15" s="13" t="s">
        <v>170</v>
      </c>
      <c r="I15" s="13" t="s">
        <v>170</v>
      </c>
      <c r="J15" s="13" t="s">
        <v>170</v>
      </c>
      <c r="K15" s="13" t="s">
        <v>170</v>
      </c>
      <c r="L15" s="13" t="s">
        <v>170</v>
      </c>
      <c r="M15" s="13" t="s">
        <v>170</v>
      </c>
      <c r="N15" s="13" t="s">
        <v>170</v>
      </c>
      <c r="O15" s="13" t="s">
        <v>170</v>
      </c>
      <c r="P15" s="13" t="s">
        <v>170</v>
      </c>
      <c r="Q15" s="13" t="s">
        <v>170</v>
      </c>
      <c r="R15" s="13" t="s">
        <v>170</v>
      </c>
      <c r="S15" s="13" t="s">
        <v>170</v>
      </c>
    </row>
    <row r="16" spans="1:19" ht="30" customHeight="1" x14ac:dyDescent="0.25">
      <c r="A16" s="33" t="s">
        <v>79</v>
      </c>
      <c r="B16" s="17" t="s">
        <v>80</v>
      </c>
      <c r="C16" s="4">
        <v>3</v>
      </c>
      <c r="D16" s="4" t="s">
        <v>174</v>
      </c>
      <c r="E16" s="4"/>
      <c r="F16" s="13" t="s">
        <v>298</v>
      </c>
      <c r="G16" s="13" t="s">
        <v>170</v>
      </c>
      <c r="H16" s="13" t="s">
        <v>170</v>
      </c>
      <c r="I16" s="13" t="s">
        <v>170</v>
      </c>
      <c r="J16" s="13" t="s">
        <v>170</v>
      </c>
      <c r="K16" s="13" t="s">
        <v>170</v>
      </c>
      <c r="L16" s="13" t="s">
        <v>170</v>
      </c>
      <c r="M16" s="13" t="s">
        <v>170</v>
      </c>
      <c r="N16" s="13" t="s">
        <v>170</v>
      </c>
      <c r="O16" s="13" t="s">
        <v>170</v>
      </c>
      <c r="P16" s="13" t="s">
        <v>170</v>
      </c>
      <c r="Q16" s="13" t="s">
        <v>170</v>
      </c>
      <c r="R16" s="13" t="s">
        <v>170</v>
      </c>
      <c r="S16" s="13" t="s">
        <v>170</v>
      </c>
    </row>
    <row r="17" spans="1:19" ht="30" customHeight="1" x14ac:dyDescent="0.25">
      <c r="A17" s="33" t="s">
        <v>81</v>
      </c>
      <c r="B17" s="17" t="s">
        <v>82</v>
      </c>
      <c r="C17" s="4">
        <v>3</v>
      </c>
      <c r="D17" s="4" t="s">
        <v>174</v>
      </c>
      <c r="E17" s="4"/>
      <c r="F17" s="13" t="s">
        <v>297</v>
      </c>
      <c r="G17" s="13" t="s">
        <v>170</v>
      </c>
      <c r="H17" s="13" t="s">
        <v>170</v>
      </c>
      <c r="I17" s="13" t="s">
        <v>170</v>
      </c>
      <c r="J17" s="13" t="s">
        <v>170</v>
      </c>
      <c r="K17" s="13" t="s">
        <v>170</v>
      </c>
      <c r="L17" s="13" t="s">
        <v>170</v>
      </c>
      <c r="M17" s="13" t="s">
        <v>170</v>
      </c>
      <c r="N17" s="13" t="s">
        <v>170</v>
      </c>
      <c r="O17" s="13" t="s">
        <v>170</v>
      </c>
      <c r="P17" s="13" t="s">
        <v>170</v>
      </c>
      <c r="Q17" s="13" t="s">
        <v>170</v>
      </c>
      <c r="R17" s="13" t="s">
        <v>170</v>
      </c>
      <c r="S17" s="13" t="s">
        <v>170</v>
      </c>
    </row>
    <row r="18" spans="1:19" ht="30" customHeight="1" x14ac:dyDescent="0.25">
      <c r="A18" s="33" t="s">
        <v>83</v>
      </c>
      <c r="B18" s="17" t="s">
        <v>84</v>
      </c>
      <c r="C18" s="4">
        <v>10</v>
      </c>
      <c r="D18" s="4" t="s">
        <v>181</v>
      </c>
      <c r="E18" s="4"/>
      <c r="F18" s="13" t="s">
        <v>304</v>
      </c>
      <c r="G18" s="13" t="s">
        <v>170</v>
      </c>
      <c r="H18" s="13" t="s">
        <v>170</v>
      </c>
      <c r="I18" s="13" t="s">
        <v>170</v>
      </c>
      <c r="J18" s="13" t="s">
        <v>170</v>
      </c>
      <c r="K18" s="13" t="s">
        <v>170</v>
      </c>
      <c r="L18" s="13" t="s">
        <v>170</v>
      </c>
      <c r="M18" s="13" t="s">
        <v>170</v>
      </c>
      <c r="N18" s="13" t="s">
        <v>170</v>
      </c>
      <c r="O18" s="13" t="s">
        <v>169</v>
      </c>
      <c r="P18" s="13" t="s">
        <v>169</v>
      </c>
      <c r="Q18" s="13" t="s">
        <v>169</v>
      </c>
      <c r="R18" s="13" t="s">
        <v>170</v>
      </c>
      <c r="S18" s="13" t="s">
        <v>170</v>
      </c>
    </row>
    <row r="19" spans="1:19" ht="30" customHeight="1" x14ac:dyDescent="0.25">
      <c r="A19" s="33" t="s">
        <v>85</v>
      </c>
      <c r="B19" s="17" t="s">
        <v>86</v>
      </c>
      <c r="C19" s="4">
        <v>10</v>
      </c>
      <c r="D19" s="4" t="s">
        <v>181</v>
      </c>
      <c r="E19" s="4"/>
      <c r="F19" s="13" t="s">
        <v>304</v>
      </c>
      <c r="G19" s="13" t="s">
        <v>170</v>
      </c>
      <c r="H19" s="13" t="s">
        <v>169</v>
      </c>
      <c r="I19" s="13" t="s">
        <v>169</v>
      </c>
      <c r="J19" s="13" t="s">
        <v>170</v>
      </c>
      <c r="K19" s="13" t="s">
        <v>169</v>
      </c>
      <c r="L19" s="13" t="s">
        <v>169</v>
      </c>
      <c r="M19" s="13" t="s">
        <v>169</v>
      </c>
      <c r="N19" s="13" t="s">
        <v>170</v>
      </c>
      <c r="O19" s="13" t="s">
        <v>169</v>
      </c>
      <c r="P19" s="13" t="s">
        <v>169</v>
      </c>
      <c r="Q19" s="13" t="s">
        <v>169</v>
      </c>
      <c r="R19" s="13" t="s">
        <v>169</v>
      </c>
      <c r="S19" s="13" t="s">
        <v>169</v>
      </c>
    </row>
    <row r="20" spans="1:19" ht="30" customHeight="1" x14ac:dyDescent="0.25">
      <c r="A20" s="33" t="s">
        <v>87</v>
      </c>
      <c r="B20" s="15" t="s">
        <v>88</v>
      </c>
      <c r="C20" s="4">
        <v>3</v>
      </c>
      <c r="D20" s="4" t="s">
        <v>174</v>
      </c>
      <c r="E20" s="4"/>
      <c r="F20" s="13" t="s">
        <v>299</v>
      </c>
      <c r="G20" s="13" t="s">
        <v>169</v>
      </c>
      <c r="H20" s="13" t="s">
        <v>169</v>
      </c>
      <c r="I20" s="13" t="s">
        <v>169</v>
      </c>
      <c r="J20" s="13" t="s">
        <v>169</v>
      </c>
      <c r="K20" s="13" t="s">
        <v>170</v>
      </c>
      <c r="L20" s="13" t="s">
        <v>169</v>
      </c>
      <c r="M20" s="13" t="s">
        <v>169</v>
      </c>
      <c r="N20" s="13" t="s">
        <v>169</v>
      </c>
      <c r="O20" s="13" t="s">
        <v>170</v>
      </c>
      <c r="P20" s="13" t="s">
        <v>170</v>
      </c>
      <c r="Q20" s="13" t="s">
        <v>169</v>
      </c>
      <c r="R20" s="13" t="s">
        <v>169</v>
      </c>
      <c r="S20" s="13" t="s">
        <v>169</v>
      </c>
    </row>
    <row r="21" spans="1:19" ht="30" customHeight="1" x14ac:dyDescent="0.25">
      <c r="A21" s="33" t="s">
        <v>89</v>
      </c>
      <c r="B21" s="16" t="s">
        <v>90</v>
      </c>
      <c r="C21" s="4">
        <v>3</v>
      </c>
      <c r="D21" s="4" t="s">
        <v>174</v>
      </c>
      <c r="E21" s="4"/>
      <c r="F21" s="13" t="s">
        <v>300</v>
      </c>
      <c r="G21" s="13" t="s">
        <v>170</v>
      </c>
      <c r="H21" s="13" t="s">
        <v>170</v>
      </c>
      <c r="I21" s="13" t="s">
        <v>170</v>
      </c>
      <c r="J21" s="13" t="s">
        <v>170</v>
      </c>
      <c r="K21" s="13" t="s">
        <v>169</v>
      </c>
      <c r="L21" s="13" t="s">
        <v>170</v>
      </c>
      <c r="M21" s="13" t="s">
        <v>170</v>
      </c>
      <c r="N21" s="13" t="s">
        <v>170</v>
      </c>
      <c r="O21" s="13" t="s">
        <v>169</v>
      </c>
      <c r="P21" s="13" t="s">
        <v>169</v>
      </c>
      <c r="Q21" s="13" t="s">
        <v>170</v>
      </c>
      <c r="R21" s="13" t="s">
        <v>170</v>
      </c>
      <c r="S21" s="13" t="s">
        <v>170</v>
      </c>
    </row>
    <row r="22" spans="1:19" ht="30" customHeight="1" x14ac:dyDescent="0.25">
      <c r="A22" s="33" t="s">
        <v>91</v>
      </c>
      <c r="B22" s="17" t="s">
        <v>92</v>
      </c>
      <c r="C22" s="4">
        <v>10</v>
      </c>
      <c r="D22" s="4" t="s">
        <v>181</v>
      </c>
      <c r="E22" s="4"/>
      <c r="F22" s="13" t="s">
        <v>304</v>
      </c>
      <c r="G22" s="13" t="s">
        <v>170</v>
      </c>
      <c r="H22" s="13" t="s">
        <v>170</v>
      </c>
      <c r="I22" s="13" t="s">
        <v>170</v>
      </c>
      <c r="J22" s="13" t="s">
        <v>170</v>
      </c>
      <c r="K22" s="13" t="s">
        <v>169</v>
      </c>
      <c r="L22" s="13" t="s">
        <v>169</v>
      </c>
      <c r="M22" s="13" t="s">
        <v>169</v>
      </c>
      <c r="N22" s="13" t="s">
        <v>169</v>
      </c>
      <c r="O22" s="13" t="s">
        <v>169</v>
      </c>
      <c r="P22" s="13" t="s">
        <v>169</v>
      </c>
      <c r="Q22" s="13" t="s">
        <v>169</v>
      </c>
      <c r="R22" s="13" t="s">
        <v>169</v>
      </c>
      <c r="S22" s="13" t="s">
        <v>169</v>
      </c>
    </row>
    <row r="23" spans="1:19" ht="30" customHeight="1" x14ac:dyDescent="0.25">
      <c r="A23" s="33" t="s">
        <v>93</v>
      </c>
      <c r="B23" s="17" t="s">
        <v>94</v>
      </c>
      <c r="C23" s="4">
        <v>10</v>
      </c>
      <c r="D23" s="4" t="s">
        <v>181</v>
      </c>
      <c r="E23" s="4"/>
      <c r="F23" s="13" t="s">
        <v>304</v>
      </c>
      <c r="G23" s="13" t="s">
        <v>170</v>
      </c>
      <c r="H23" s="13" t="s">
        <v>169</v>
      </c>
      <c r="I23" s="13" t="s">
        <v>169</v>
      </c>
      <c r="J23" s="13" t="s">
        <v>169</v>
      </c>
      <c r="K23" s="13" t="s">
        <v>169</v>
      </c>
      <c r="L23" s="13" t="s">
        <v>169</v>
      </c>
      <c r="M23" s="13" t="s">
        <v>169</v>
      </c>
      <c r="N23" s="13" t="s">
        <v>169</v>
      </c>
      <c r="O23" s="13" t="s">
        <v>169</v>
      </c>
      <c r="P23" s="13" t="s">
        <v>169</v>
      </c>
      <c r="Q23" s="13" t="s">
        <v>169</v>
      </c>
      <c r="R23" s="13" t="s">
        <v>169</v>
      </c>
      <c r="S23" s="13" t="s">
        <v>169</v>
      </c>
    </row>
    <row r="24" spans="1:19" ht="30" customHeight="1" x14ac:dyDescent="0.25">
      <c r="A24" s="33" t="s">
        <v>95</v>
      </c>
      <c r="B24" s="17" t="s">
        <v>96</v>
      </c>
      <c r="C24" s="4">
        <v>10</v>
      </c>
      <c r="D24" s="4" t="s">
        <v>181</v>
      </c>
      <c r="E24" s="4"/>
      <c r="F24" s="13" t="s">
        <v>304</v>
      </c>
      <c r="G24" s="13" t="s">
        <v>170</v>
      </c>
      <c r="H24" s="13" t="s">
        <v>169</v>
      </c>
      <c r="I24" s="13" t="s">
        <v>169</v>
      </c>
      <c r="J24" s="13" t="s">
        <v>169</v>
      </c>
      <c r="K24" s="13" t="s">
        <v>169</v>
      </c>
      <c r="L24" s="13" t="s">
        <v>169</v>
      </c>
      <c r="M24" s="13" t="s">
        <v>169</v>
      </c>
      <c r="N24" s="13" t="s">
        <v>169</v>
      </c>
      <c r="O24" s="13" t="s">
        <v>169</v>
      </c>
      <c r="P24" s="13" t="s">
        <v>169</v>
      </c>
      <c r="Q24" s="13" t="s">
        <v>169</v>
      </c>
      <c r="R24" s="13" t="s">
        <v>169</v>
      </c>
      <c r="S24" s="13" t="s">
        <v>169</v>
      </c>
    </row>
    <row r="25" spans="1:19" ht="30" customHeight="1" x14ac:dyDescent="0.25">
      <c r="A25" s="33" t="s">
        <v>97</v>
      </c>
      <c r="B25" s="17" t="s">
        <v>98</v>
      </c>
      <c r="C25" s="4">
        <v>10</v>
      </c>
      <c r="D25" s="4" t="s">
        <v>181</v>
      </c>
      <c r="E25" s="4"/>
      <c r="F25" s="13" t="s">
        <v>304</v>
      </c>
      <c r="G25" s="13" t="s">
        <v>170</v>
      </c>
      <c r="H25" s="13" t="s">
        <v>169</v>
      </c>
      <c r="I25" s="13" t="s">
        <v>169</v>
      </c>
      <c r="J25" s="13" t="s">
        <v>169</v>
      </c>
      <c r="K25" s="13" t="s">
        <v>169</v>
      </c>
      <c r="L25" s="13" t="s">
        <v>169</v>
      </c>
      <c r="M25" s="13" t="s">
        <v>169</v>
      </c>
      <c r="N25" s="13" t="s">
        <v>169</v>
      </c>
      <c r="O25" s="13" t="s">
        <v>169</v>
      </c>
      <c r="P25" s="13" t="s">
        <v>169</v>
      </c>
      <c r="Q25" s="13" t="s">
        <v>169</v>
      </c>
      <c r="R25" s="13" t="s">
        <v>169</v>
      </c>
      <c r="S25" s="13" t="s">
        <v>169</v>
      </c>
    </row>
    <row r="26" spans="1:19" ht="30" customHeight="1" x14ac:dyDescent="0.25">
      <c r="A26" s="33" t="s">
        <v>99</v>
      </c>
      <c r="B26" s="17" t="s">
        <v>100</v>
      </c>
      <c r="C26" s="4">
        <v>10</v>
      </c>
      <c r="D26" s="4" t="s">
        <v>181</v>
      </c>
      <c r="E26" s="4"/>
      <c r="F26" s="13" t="s">
        <v>304</v>
      </c>
      <c r="G26" s="13" t="s">
        <v>170</v>
      </c>
      <c r="H26" s="13" t="s">
        <v>169</v>
      </c>
      <c r="I26" s="13" t="s">
        <v>169</v>
      </c>
      <c r="J26" s="13" t="s">
        <v>169</v>
      </c>
      <c r="K26" s="13" t="s">
        <v>169</v>
      </c>
      <c r="L26" s="13" t="s">
        <v>169</v>
      </c>
      <c r="M26" s="13" t="s">
        <v>169</v>
      </c>
      <c r="N26" s="13" t="s">
        <v>169</v>
      </c>
      <c r="O26" s="13" t="s">
        <v>169</v>
      </c>
      <c r="P26" s="13" t="s">
        <v>169</v>
      </c>
      <c r="Q26" s="13" t="s">
        <v>169</v>
      </c>
      <c r="R26" s="13" t="s">
        <v>169</v>
      </c>
      <c r="S26" s="13" t="s">
        <v>169</v>
      </c>
    </row>
    <row r="27" spans="1:19" ht="30" customHeight="1" x14ac:dyDescent="0.25">
      <c r="A27" s="33" t="s">
        <v>101</v>
      </c>
      <c r="B27" s="17" t="s">
        <v>102</v>
      </c>
      <c r="C27" s="4">
        <v>10</v>
      </c>
      <c r="D27" s="4" t="s">
        <v>181</v>
      </c>
      <c r="E27" s="4"/>
      <c r="F27" s="13" t="s">
        <v>304</v>
      </c>
      <c r="G27" s="13" t="s">
        <v>170</v>
      </c>
      <c r="H27" s="13" t="s">
        <v>170</v>
      </c>
      <c r="I27" s="13" t="s">
        <v>170</v>
      </c>
      <c r="J27" s="13" t="s">
        <v>170</v>
      </c>
      <c r="K27" s="13" t="s">
        <v>169</v>
      </c>
      <c r="L27" s="13" t="s">
        <v>169</v>
      </c>
      <c r="M27" s="13" t="s">
        <v>169</v>
      </c>
      <c r="N27" s="13" t="s">
        <v>169</v>
      </c>
      <c r="O27" s="13" t="s">
        <v>169</v>
      </c>
      <c r="P27" s="13" t="s">
        <v>169</v>
      </c>
      <c r="Q27" s="13" t="s">
        <v>169</v>
      </c>
      <c r="R27" s="13" t="s">
        <v>169</v>
      </c>
      <c r="S27" s="13" t="s">
        <v>169</v>
      </c>
    </row>
    <row r="28" spans="1:19" ht="30" customHeight="1" x14ac:dyDescent="0.25">
      <c r="A28" s="33" t="s">
        <v>103</v>
      </c>
      <c r="B28" s="17" t="s">
        <v>104</v>
      </c>
      <c r="C28" s="4">
        <v>10</v>
      </c>
      <c r="D28" s="4" t="s">
        <v>181</v>
      </c>
      <c r="E28" s="4"/>
      <c r="F28" s="13" t="s">
        <v>301</v>
      </c>
      <c r="G28" s="13" t="s">
        <v>170</v>
      </c>
      <c r="H28" s="13" t="s">
        <v>170</v>
      </c>
      <c r="I28" s="13" t="s">
        <v>170</v>
      </c>
      <c r="J28" s="13" t="s">
        <v>170</v>
      </c>
      <c r="K28" s="13" t="s">
        <v>169</v>
      </c>
      <c r="L28" s="13" t="s">
        <v>169</v>
      </c>
      <c r="M28" s="13" t="s">
        <v>169</v>
      </c>
      <c r="N28" s="13" t="s">
        <v>169</v>
      </c>
      <c r="O28" s="13" t="s">
        <v>169</v>
      </c>
      <c r="P28" s="13" t="s">
        <v>169</v>
      </c>
      <c r="Q28" s="13" t="s">
        <v>169</v>
      </c>
      <c r="R28" s="13" t="s">
        <v>169</v>
      </c>
      <c r="S28" s="13" t="s">
        <v>169</v>
      </c>
    </row>
    <row r="29" spans="1:19" ht="30" customHeight="1" x14ac:dyDescent="0.25">
      <c r="A29" s="33" t="s">
        <v>105</v>
      </c>
      <c r="B29" s="17" t="s">
        <v>106</v>
      </c>
      <c r="C29" s="4">
        <v>10</v>
      </c>
      <c r="D29" s="4" t="s">
        <v>181</v>
      </c>
      <c r="E29" s="4"/>
      <c r="F29" s="13" t="s">
        <v>302</v>
      </c>
      <c r="G29" s="13" t="s">
        <v>170</v>
      </c>
      <c r="H29" s="13" t="s">
        <v>170</v>
      </c>
      <c r="I29" s="13" t="s">
        <v>169</v>
      </c>
      <c r="J29" s="13" t="s">
        <v>169</v>
      </c>
      <c r="K29" s="13" t="s">
        <v>169</v>
      </c>
      <c r="L29" s="13" t="s">
        <v>169</v>
      </c>
      <c r="M29" s="13" t="s">
        <v>169</v>
      </c>
      <c r="N29" s="13" t="s">
        <v>169</v>
      </c>
      <c r="O29" s="13" t="s">
        <v>169</v>
      </c>
      <c r="P29" s="13" t="s">
        <v>169</v>
      </c>
      <c r="Q29" s="13" t="s">
        <v>169</v>
      </c>
      <c r="R29" s="13" t="s">
        <v>169</v>
      </c>
      <c r="S29" s="13" t="s">
        <v>169</v>
      </c>
    </row>
    <row r="30" spans="1:19" ht="30" customHeight="1" x14ac:dyDescent="0.25">
      <c r="A30" s="49" t="s">
        <v>250</v>
      </c>
      <c r="B30" s="32" t="s">
        <v>251</v>
      </c>
      <c r="C30" s="4">
        <v>5</v>
      </c>
      <c r="D30" s="4" t="s">
        <v>176</v>
      </c>
      <c r="E30" s="4"/>
      <c r="F30" s="13" t="s">
        <v>303</v>
      </c>
      <c r="G30" s="13" t="s">
        <v>170</v>
      </c>
      <c r="H30" s="13" t="s">
        <v>170</v>
      </c>
      <c r="I30" s="13" t="s">
        <v>169</v>
      </c>
      <c r="J30" s="13" t="s">
        <v>169</v>
      </c>
      <c r="K30" s="13" t="s">
        <v>169</v>
      </c>
      <c r="L30" s="13" t="s">
        <v>169</v>
      </c>
      <c r="M30" s="13" t="s">
        <v>169</v>
      </c>
      <c r="N30" s="13" t="s">
        <v>169</v>
      </c>
      <c r="O30" s="13" t="s">
        <v>169</v>
      </c>
      <c r="P30" s="13" t="s">
        <v>169</v>
      </c>
      <c r="Q30" s="13" t="s">
        <v>169</v>
      </c>
      <c r="R30" s="13" t="s">
        <v>169</v>
      </c>
      <c r="S30" s="13" t="s">
        <v>169</v>
      </c>
    </row>
    <row r="31" spans="1:19" ht="30" customHeight="1" x14ac:dyDescent="0.25">
      <c r="A31" s="33" t="s">
        <v>107</v>
      </c>
      <c r="B31" s="17" t="s">
        <v>108</v>
      </c>
      <c r="C31" s="4">
        <v>10</v>
      </c>
      <c r="D31" s="4" t="s">
        <v>181</v>
      </c>
      <c r="E31" s="4"/>
      <c r="F31" s="13" t="s">
        <v>304</v>
      </c>
      <c r="G31" s="13" t="s">
        <v>170</v>
      </c>
      <c r="H31" s="13" t="s">
        <v>170</v>
      </c>
      <c r="I31" s="13" t="s">
        <v>169</v>
      </c>
      <c r="J31" s="13" t="s">
        <v>169</v>
      </c>
      <c r="K31" s="13" t="s">
        <v>169</v>
      </c>
      <c r="L31" s="13" t="s">
        <v>169</v>
      </c>
      <c r="M31" s="13" t="s">
        <v>169</v>
      </c>
      <c r="N31" s="13" t="s">
        <v>169</v>
      </c>
      <c r="O31" s="13" t="s">
        <v>169</v>
      </c>
      <c r="P31" s="13" t="s">
        <v>169</v>
      </c>
      <c r="Q31" s="13" t="s">
        <v>169</v>
      </c>
      <c r="R31" s="13" t="s">
        <v>169</v>
      </c>
      <c r="S31" s="13" t="s">
        <v>169</v>
      </c>
    </row>
    <row r="32" spans="1:19" ht="30" customHeight="1" x14ac:dyDescent="0.25">
      <c r="A32" s="33" t="s">
        <v>109</v>
      </c>
      <c r="B32" s="12" t="s">
        <v>110</v>
      </c>
      <c r="C32" s="4">
        <v>6</v>
      </c>
      <c r="D32" s="4" t="s">
        <v>177</v>
      </c>
      <c r="E32" s="4"/>
      <c r="F32" s="13" t="s">
        <v>305</v>
      </c>
      <c r="G32" s="13" t="s">
        <v>170</v>
      </c>
      <c r="H32" s="13" t="s">
        <v>170</v>
      </c>
      <c r="I32" s="13" t="s">
        <v>169</v>
      </c>
      <c r="J32" s="13" t="s">
        <v>169</v>
      </c>
      <c r="K32" s="13" t="s">
        <v>169</v>
      </c>
      <c r="L32" s="13" t="s">
        <v>169</v>
      </c>
      <c r="M32" s="13" t="s">
        <v>169</v>
      </c>
      <c r="N32" s="13" t="s">
        <v>169</v>
      </c>
      <c r="O32" s="13" t="s">
        <v>169</v>
      </c>
      <c r="P32" s="13" t="s">
        <v>169</v>
      </c>
      <c r="Q32" s="13" t="s">
        <v>169</v>
      </c>
      <c r="R32" s="13" t="s">
        <v>169</v>
      </c>
      <c r="S32" s="13" t="s">
        <v>169</v>
      </c>
    </row>
    <row r="33" spans="1:19" ht="30" customHeight="1" x14ac:dyDescent="0.25">
      <c r="A33" s="33" t="s">
        <v>111</v>
      </c>
      <c r="B33" s="17" t="s">
        <v>112</v>
      </c>
      <c r="C33" s="4">
        <v>10</v>
      </c>
      <c r="D33" s="4" t="s">
        <v>181</v>
      </c>
      <c r="E33" s="4"/>
      <c r="F33" s="13" t="s">
        <v>304</v>
      </c>
      <c r="G33" s="13" t="s">
        <v>170</v>
      </c>
      <c r="H33" s="13" t="s">
        <v>169</v>
      </c>
      <c r="I33" s="13" t="s">
        <v>170</v>
      </c>
      <c r="J33" s="13" t="s">
        <v>169</v>
      </c>
      <c r="K33" s="13" t="s">
        <v>169</v>
      </c>
      <c r="L33" s="13" t="s">
        <v>169</v>
      </c>
      <c r="M33" s="13" t="s">
        <v>169</v>
      </c>
      <c r="N33" s="13" t="s">
        <v>169</v>
      </c>
      <c r="O33" s="13" t="s">
        <v>169</v>
      </c>
      <c r="P33" s="13" t="s">
        <v>169</v>
      </c>
      <c r="Q33" s="13" t="s">
        <v>169</v>
      </c>
      <c r="R33" s="13" t="s">
        <v>169</v>
      </c>
      <c r="S33" s="13" t="s">
        <v>169</v>
      </c>
    </row>
    <row r="34" spans="1:19" ht="30" customHeight="1" x14ac:dyDescent="0.25">
      <c r="A34" s="33" t="s">
        <v>113</v>
      </c>
      <c r="B34" s="17" t="s">
        <v>114</v>
      </c>
      <c r="C34" s="4">
        <v>10</v>
      </c>
      <c r="D34" s="4" t="s">
        <v>181</v>
      </c>
      <c r="E34" s="4"/>
      <c r="F34" s="13" t="s">
        <v>304</v>
      </c>
      <c r="G34" s="13" t="s">
        <v>170</v>
      </c>
      <c r="H34" s="13" t="s">
        <v>169</v>
      </c>
      <c r="I34" s="13" t="s">
        <v>170</v>
      </c>
      <c r="J34" s="13" t="s">
        <v>169</v>
      </c>
      <c r="K34" s="13" t="s">
        <v>169</v>
      </c>
      <c r="L34" s="13" t="s">
        <v>169</v>
      </c>
      <c r="M34" s="13" t="s">
        <v>169</v>
      </c>
      <c r="N34" s="13" t="s">
        <v>169</v>
      </c>
      <c r="O34" s="13" t="s">
        <v>169</v>
      </c>
      <c r="P34" s="13" t="s">
        <v>169</v>
      </c>
      <c r="Q34" s="13" t="s">
        <v>169</v>
      </c>
      <c r="R34" s="13" t="s">
        <v>169</v>
      </c>
      <c r="S34" s="13" t="s">
        <v>169</v>
      </c>
    </row>
    <row r="35" spans="1:19" ht="30" customHeight="1" x14ac:dyDescent="0.25">
      <c r="A35" s="33" t="s">
        <v>115</v>
      </c>
      <c r="B35" s="17" t="s">
        <v>116</v>
      </c>
      <c r="C35" s="4">
        <v>10</v>
      </c>
      <c r="D35" s="4" t="s">
        <v>181</v>
      </c>
      <c r="E35" s="4"/>
      <c r="F35" s="13" t="s">
        <v>304</v>
      </c>
      <c r="G35" s="13" t="s">
        <v>170</v>
      </c>
      <c r="H35" s="13" t="s">
        <v>169</v>
      </c>
      <c r="I35" s="13" t="s">
        <v>170</v>
      </c>
      <c r="J35" s="13" t="s">
        <v>169</v>
      </c>
      <c r="K35" s="13" t="s">
        <v>169</v>
      </c>
      <c r="L35" s="13" t="s">
        <v>169</v>
      </c>
      <c r="M35" s="13" t="s">
        <v>169</v>
      </c>
      <c r="N35" s="13" t="s">
        <v>169</v>
      </c>
      <c r="O35" s="13" t="s">
        <v>169</v>
      </c>
      <c r="P35" s="13" t="s">
        <v>169</v>
      </c>
      <c r="Q35" s="13" t="s">
        <v>169</v>
      </c>
      <c r="R35" s="13" t="s">
        <v>169</v>
      </c>
      <c r="S35" s="13" t="s">
        <v>169</v>
      </c>
    </row>
    <row r="36" spans="1:19" ht="30" customHeight="1" x14ac:dyDescent="0.25">
      <c r="A36" s="33" t="s">
        <v>117</v>
      </c>
      <c r="B36" s="17" t="s">
        <v>118</v>
      </c>
      <c r="C36" s="4">
        <v>10</v>
      </c>
      <c r="D36" s="4" t="s">
        <v>181</v>
      </c>
      <c r="E36" s="4"/>
      <c r="F36" s="13" t="s">
        <v>304</v>
      </c>
      <c r="G36" s="13" t="s">
        <v>170</v>
      </c>
      <c r="H36" s="13" t="s">
        <v>169</v>
      </c>
      <c r="I36" s="13" t="s">
        <v>170</v>
      </c>
      <c r="J36" s="13" t="s">
        <v>169</v>
      </c>
      <c r="K36" s="13" t="s">
        <v>169</v>
      </c>
      <c r="L36" s="13" t="s">
        <v>169</v>
      </c>
      <c r="M36" s="13" t="s">
        <v>169</v>
      </c>
      <c r="N36" s="13" t="s">
        <v>169</v>
      </c>
      <c r="O36" s="13" t="s">
        <v>169</v>
      </c>
      <c r="P36" s="13" t="s">
        <v>169</v>
      </c>
      <c r="Q36" s="13" t="s">
        <v>169</v>
      </c>
      <c r="R36" s="13" t="s">
        <v>169</v>
      </c>
      <c r="S36" s="13" t="s">
        <v>169</v>
      </c>
    </row>
    <row r="37" spans="1:19" ht="30" customHeight="1" x14ac:dyDescent="0.25">
      <c r="A37" s="33" t="s">
        <v>119</v>
      </c>
      <c r="B37" s="17" t="s">
        <v>120</v>
      </c>
      <c r="C37" s="4">
        <v>10</v>
      </c>
      <c r="D37" s="4" t="s">
        <v>181</v>
      </c>
      <c r="E37" s="4"/>
      <c r="F37" s="13" t="s">
        <v>304</v>
      </c>
      <c r="G37" s="13" t="s">
        <v>170</v>
      </c>
      <c r="H37" s="13" t="s">
        <v>169</v>
      </c>
      <c r="I37" s="13" t="s">
        <v>170</v>
      </c>
      <c r="J37" s="13" t="s">
        <v>169</v>
      </c>
      <c r="K37" s="13" t="s">
        <v>169</v>
      </c>
      <c r="L37" s="13" t="s">
        <v>169</v>
      </c>
      <c r="M37" s="13" t="s">
        <v>169</v>
      </c>
      <c r="N37" s="13" t="s">
        <v>169</v>
      </c>
      <c r="O37" s="13" t="s">
        <v>169</v>
      </c>
      <c r="P37" s="13" t="s">
        <v>169</v>
      </c>
      <c r="Q37" s="13" t="s">
        <v>169</v>
      </c>
      <c r="R37" s="13" t="s">
        <v>169</v>
      </c>
      <c r="S37" s="13" t="s">
        <v>169</v>
      </c>
    </row>
    <row r="38" spans="1:19" ht="30" customHeight="1" x14ac:dyDescent="0.25">
      <c r="A38" s="33" t="s">
        <v>121</v>
      </c>
      <c r="B38" s="17" t="s">
        <v>307</v>
      </c>
      <c r="C38" s="4">
        <v>10</v>
      </c>
      <c r="D38" s="4" t="s">
        <v>181</v>
      </c>
      <c r="E38" s="4"/>
      <c r="F38" s="13" t="s">
        <v>304</v>
      </c>
      <c r="G38" s="13" t="s">
        <v>170</v>
      </c>
      <c r="H38" s="13" t="s">
        <v>169</v>
      </c>
      <c r="I38" s="13" t="s">
        <v>170</v>
      </c>
      <c r="J38" s="13" t="s">
        <v>169</v>
      </c>
      <c r="K38" s="13" t="s">
        <v>169</v>
      </c>
      <c r="L38" s="13" t="s">
        <v>169</v>
      </c>
      <c r="M38" s="13" t="s">
        <v>169</v>
      </c>
      <c r="N38" s="13" t="s">
        <v>169</v>
      </c>
      <c r="O38" s="13" t="s">
        <v>169</v>
      </c>
      <c r="P38" s="13" t="s">
        <v>169</v>
      </c>
      <c r="Q38" s="13" t="s">
        <v>169</v>
      </c>
      <c r="R38" s="13" t="s">
        <v>169</v>
      </c>
      <c r="S38" s="13" t="s">
        <v>169</v>
      </c>
    </row>
    <row r="39" spans="1:19" ht="30" customHeight="1" x14ac:dyDescent="0.25">
      <c r="A39" s="33" t="s">
        <v>122</v>
      </c>
      <c r="B39" s="17" t="s">
        <v>123</v>
      </c>
      <c r="C39" s="4">
        <v>5</v>
      </c>
      <c r="D39" s="4" t="s">
        <v>176</v>
      </c>
      <c r="E39" s="4"/>
      <c r="F39" s="13" t="s">
        <v>169</v>
      </c>
      <c r="G39" s="13" t="s">
        <v>169</v>
      </c>
      <c r="H39" s="13" t="s">
        <v>169</v>
      </c>
      <c r="I39" s="13" t="s">
        <v>170</v>
      </c>
      <c r="J39" s="13" t="s">
        <v>169</v>
      </c>
      <c r="K39" s="13" t="s">
        <v>169</v>
      </c>
      <c r="L39" s="13" t="s">
        <v>169</v>
      </c>
      <c r="M39" s="13" t="s">
        <v>169</v>
      </c>
      <c r="N39" s="13" t="s">
        <v>169</v>
      </c>
      <c r="O39" s="13" t="s">
        <v>169</v>
      </c>
      <c r="P39" s="13" t="s">
        <v>169</v>
      </c>
      <c r="Q39" s="13" t="s">
        <v>169</v>
      </c>
      <c r="R39" s="13" t="s">
        <v>169</v>
      </c>
      <c r="S39" s="13" t="s">
        <v>169</v>
      </c>
    </row>
    <row r="40" spans="1:19" ht="30" customHeight="1" x14ac:dyDescent="0.25">
      <c r="A40" s="30" t="s">
        <v>124</v>
      </c>
      <c r="B40" s="8" t="s">
        <v>238</v>
      </c>
      <c r="C40" s="4">
        <v>7</v>
      </c>
      <c r="D40" s="4" t="s">
        <v>178</v>
      </c>
      <c r="E40" s="4"/>
      <c r="F40" s="13" t="s">
        <v>270</v>
      </c>
      <c r="G40" s="13" t="s">
        <v>170</v>
      </c>
      <c r="H40" s="13" t="s">
        <v>169</v>
      </c>
      <c r="I40" s="13" t="s">
        <v>169</v>
      </c>
      <c r="J40" s="13" t="s">
        <v>169</v>
      </c>
      <c r="K40" s="13" t="s">
        <v>169</v>
      </c>
      <c r="L40" s="13" t="s">
        <v>169</v>
      </c>
      <c r="M40" s="13" t="s">
        <v>169</v>
      </c>
      <c r="N40" s="13" t="s">
        <v>169</v>
      </c>
      <c r="O40" s="13" t="s">
        <v>169</v>
      </c>
      <c r="P40" s="13" t="s">
        <v>169</v>
      </c>
      <c r="Q40" s="13" t="s">
        <v>169</v>
      </c>
      <c r="R40" s="13" t="s">
        <v>169</v>
      </c>
      <c r="S40" s="13" t="s">
        <v>169</v>
      </c>
    </row>
    <row r="41" spans="1:19" ht="30" customHeight="1" x14ac:dyDescent="0.25">
      <c r="A41" s="30" t="s">
        <v>125</v>
      </c>
      <c r="B41" s="8" t="s">
        <v>239</v>
      </c>
      <c r="C41" s="4">
        <v>7</v>
      </c>
      <c r="D41" s="4" t="s">
        <v>178</v>
      </c>
      <c r="E41" s="4"/>
      <c r="F41" s="13" t="s">
        <v>126</v>
      </c>
      <c r="G41" s="13" t="s">
        <v>170</v>
      </c>
      <c r="H41" s="13" t="s">
        <v>169</v>
      </c>
      <c r="I41" s="13" t="s">
        <v>169</v>
      </c>
      <c r="J41" s="13" t="s">
        <v>169</v>
      </c>
      <c r="K41" s="13" t="s">
        <v>169</v>
      </c>
      <c r="L41" s="13" t="s">
        <v>169</v>
      </c>
      <c r="M41" s="13" t="s">
        <v>169</v>
      </c>
      <c r="N41" s="13" t="s">
        <v>169</v>
      </c>
      <c r="O41" s="13" t="s">
        <v>169</v>
      </c>
      <c r="P41" s="13" t="s">
        <v>169</v>
      </c>
      <c r="Q41" s="13" t="s">
        <v>169</v>
      </c>
      <c r="R41" s="13" t="s">
        <v>169</v>
      </c>
      <c r="S41" s="13" t="s">
        <v>169</v>
      </c>
    </row>
    <row r="42" spans="1:19" ht="30" customHeight="1" x14ac:dyDescent="0.25">
      <c r="A42" s="33" t="s">
        <v>147</v>
      </c>
      <c r="B42" s="12" t="s">
        <v>134</v>
      </c>
      <c r="C42" s="4">
        <v>10</v>
      </c>
      <c r="D42" s="4" t="s">
        <v>181</v>
      </c>
      <c r="E42" s="4"/>
      <c r="F42" s="13" t="s">
        <v>298</v>
      </c>
      <c r="G42" s="12" t="s">
        <v>169</v>
      </c>
      <c r="H42" s="12" t="s">
        <v>169</v>
      </c>
      <c r="I42" s="12" t="s">
        <v>169</v>
      </c>
      <c r="J42" s="12" t="s">
        <v>169</v>
      </c>
      <c r="K42" s="12" t="s">
        <v>169</v>
      </c>
      <c r="L42" s="13" t="s">
        <v>170</v>
      </c>
      <c r="M42" s="12" t="s">
        <v>169</v>
      </c>
      <c r="N42" s="12" t="s">
        <v>169</v>
      </c>
      <c r="O42" s="12" t="s">
        <v>169</v>
      </c>
      <c r="P42" s="13" t="s">
        <v>170</v>
      </c>
      <c r="Q42" s="12" t="s">
        <v>169</v>
      </c>
      <c r="R42" s="12" t="s">
        <v>169</v>
      </c>
      <c r="S42" s="12" t="s">
        <v>169</v>
      </c>
    </row>
    <row r="43" spans="1:19" ht="30" customHeight="1" x14ac:dyDescent="0.25">
      <c r="A43" s="33" t="s">
        <v>148</v>
      </c>
      <c r="B43" s="12" t="s">
        <v>136</v>
      </c>
      <c r="C43" s="4">
        <v>10</v>
      </c>
      <c r="D43" s="4" t="s">
        <v>181</v>
      </c>
      <c r="E43" s="4"/>
      <c r="F43" s="13" t="s">
        <v>298</v>
      </c>
      <c r="G43" s="12" t="s">
        <v>169</v>
      </c>
      <c r="H43" s="12" t="s">
        <v>169</v>
      </c>
      <c r="I43" s="12" t="s">
        <v>169</v>
      </c>
      <c r="J43" s="12" t="s">
        <v>169</v>
      </c>
      <c r="K43" s="12" t="s">
        <v>169</v>
      </c>
      <c r="L43" s="13" t="s">
        <v>170</v>
      </c>
      <c r="M43" s="12" t="s">
        <v>169</v>
      </c>
      <c r="N43" s="12" t="s">
        <v>169</v>
      </c>
      <c r="O43" s="12" t="s">
        <v>169</v>
      </c>
      <c r="P43" s="13" t="s">
        <v>170</v>
      </c>
      <c r="Q43" s="12" t="s">
        <v>169</v>
      </c>
      <c r="R43" s="12" t="s">
        <v>169</v>
      </c>
      <c r="S43" s="12" t="s">
        <v>169</v>
      </c>
    </row>
    <row r="44" spans="1:19" ht="30" customHeight="1" x14ac:dyDescent="0.25">
      <c r="A44" s="33" t="s">
        <v>149</v>
      </c>
      <c r="B44" s="12" t="s">
        <v>138</v>
      </c>
      <c r="C44" s="4">
        <v>10</v>
      </c>
      <c r="D44" s="4" t="s">
        <v>181</v>
      </c>
      <c r="E44" s="4"/>
      <c r="F44" s="13" t="s">
        <v>304</v>
      </c>
      <c r="G44" s="12" t="s">
        <v>169</v>
      </c>
      <c r="H44" s="12" t="s">
        <v>169</v>
      </c>
      <c r="I44" s="12" t="s">
        <v>169</v>
      </c>
      <c r="J44" s="12" t="s">
        <v>169</v>
      </c>
      <c r="K44" s="12" t="s">
        <v>169</v>
      </c>
      <c r="L44" s="13" t="s">
        <v>170</v>
      </c>
      <c r="M44" s="12" t="s">
        <v>169</v>
      </c>
      <c r="N44" s="12" t="s">
        <v>169</v>
      </c>
      <c r="O44" s="12" t="s">
        <v>169</v>
      </c>
      <c r="P44" s="13" t="s">
        <v>170</v>
      </c>
      <c r="Q44" s="12" t="s">
        <v>169</v>
      </c>
      <c r="R44" s="12" t="s">
        <v>169</v>
      </c>
      <c r="S44" s="12" t="s">
        <v>169</v>
      </c>
    </row>
    <row r="45" spans="1:19" ht="30" customHeight="1" x14ac:dyDescent="0.25">
      <c r="A45" s="33" t="s">
        <v>150</v>
      </c>
      <c r="B45" s="12" t="s">
        <v>151</v>
      </c>
      <c r="C45" s="4">
        <v>10</v>
      </c>
      <c r="D45" s="4" t="s">
        <v>181</v>
      </c>
      <c r="E45" s="4"/>
      <c r="F45" s="13" t="s">
        <v>313</v>
      </c>
      <c r="G45" s="12" t="s">
        <v>169</v>
      </c>
      <c r="H45" s="12" t="s">
        <v>169</v>
      </c>
      <c r="I45" s="12" t="s">
        <v>169</v>
      </c>
      <c r="J45" s="12" t="s">
        <v>169</v>
      </c>
      <c r="K45" s="12" t="s">
        <v>169</v>
      </c>
      <c r="L45" s="13" t="s">
        <v>170</v>
      </c>
      <c r="M45" s="12" t="s">
        <v>169</v>
      </c>
      <c r="N45" s="12" t="s">
        <v>169</v>
      </c>
      <c r="O45" s="12" t="s">
        <v>169</v>
      </c>
      <c r="P45" s="13" t="s">
        <v>170</v>
      </c>
      <c r="Q45" s="12" t="s">
        <v>169</v>
      </c>
      <c r="R45" s="12" t="s">
        <v>169</v>
      </c>
      <c r="S45" s="12" t="s">
        <v>169</v>
      </c>
    </row>
    <row r="46" spans="1:19" ht="30" customHeight="1" x14ac:dyDescent="0.25">
      <c r="A46" s="30" t="s">
        <v>127</v>
      </c>
      <c r="B46" s="17" t="s">
        <v>128</v>
      </c>
      <c r="C46" s="4">
        <v>10</v>
      </c>
      <c r="D46" s="4" t="s">
        <v>181</v>
      </c>
      <c r="E46" s="4"/>
      <c r="F46" s="13" t="s">
        <v>302</v>
      </c>
      <c r="G46" s="18" t="s">
        <v>170</v>
      </c>
      <c r="H46" s="18" t="s">
        <v>169</v>
      </c>
      <c r="I46" s="18" t="s">
        <v>169</v>
      </c>
      <c r="J46" s="18" t="s">
        <v>169</v>
      </c>
      <c r="K46" s="18" t="s">
        <v>169</v>
      </c>
      <c r="L46" s="18" t="s">
        <v>170</v>
      </c>
      <c r="M46" s="18" t="s">
        <v>169</v>
      </c>
      <c r="N46" s="18" t="s">
        <v>169</v>
      </c>
      <c r="O46" s="18" t="s">
        <v>169</v>
      </c>
      <c r="P46" s="18" t="s">
        <v>169</v>
      </c>
      <c r="Q46" s="18" t="s">
        <v>169</v>
      </c>
      <c r="R46" s="18" t="s">
        <v>169</v>
      </c>
      <c r="S46" s="18" t="s">
        <v>169</v>
      </c>
    </row>
    <row r="47" spans="1:19" ht="30" customHeight="1" x14ac:dyDescent="0.25">
      <c r="A47" s="30" t="s">
        <v>129</v>
      </c>
      <c r="B47" s="17" t="s">
        <v>130</v>
      </c>
      <c r="C47" s="4">
        <v>10</v>
      </c>
      <c r="D47" s="4" t="s">
        <v>181</v>
      </c>
      <c r="E47" s="4"/>
      <c r="F47" s="13" t="s">
        <v>302</v>
      </c>
      <c r="G47" s="18" t="s">
        <v>169</v>
      </c>
      <c r="H47" s="18" t="s">
        <v>169</v>
      </c>
      <c r="I47" s="18" t="s">
        <v>169</v>
      </c>
      <c r="J47" s="18" t="s">
        <v>169</v>
      </c>
      <c r="K47" s="18" t="s">
        <v>169</v>
      </c>
      <c r="L47" s="18" t="s">
        <v>169</v>
      </c>
      <c r="M47" s="18" t="s">
        <v>169</v>
      </c>
      <c r="N47" s="18" t="s">
        <v>169</v>
      </c>
      <c r="O47" s="18" t="s">
        <v>169</v>
      </c>
      <c r="P47" s="18" t="s">
        <v>170</v>
      </c>
      <c r="Q47" s="18" t="s">
        <v>169</v>
      </c>
      <c r="R47" s="18" t="s">
        <v>169</v>
      </c>
      <c r="S47" s="18" t="s">
        <v>169</v>
      </c>
    </row>
    <row r="48" spans="1:19" ht="30" customHeight="1" x14ac:dyDescent="0.25">
      <c r="A48" s="33" t="s">
        <v>133</v>
      </c>
      <c r="B48" s="12" t="s">
        <v>134</v>
      </c>
      <c r="C48" s="4">
        <v>10</v>
      </c>
      <c r="D48" s="4" t="s">
        <v>181</v>
      </c>
      <c r="E48" s="4"/>
      <c r="F48" s="13" t="s">
        <v>298</v>
      </c>
      <c r="G48" s="18" t="s">
        <v>169</v>
      </c>
      <c r="H48" s="18" t="s">
        <v>169</v>
      </c>
      <c r="I48" s="18" t="s">
        <v>169</v>
      </c>
      <c r="J48" s="18" t="s">
        <v>169</v>
      </c>
      <c r="K48" s="18" t="s">
        <v>169</v>
      </c>
      <c r="L48" s="18" t="s">
        <v>170</v>
      </c>
      <c r="M48" s="18" t="s">
        <v>169</v>
      </c>
      <c r="N48" s="18" t="s">
        <v>169</v>
      </c>
      <c r="O48" s="18" t="s">
        <v>169</v>
      </c>
      <c r="P48" s="18" t="s">
        <v>170</v>
      </c>
      <c r="Q48" s="18" t="s">
        <v>169</v>
      </c>
      <c r="R48" s="18" t="s">
        <v>169</v>
      </c>
      <c r="S48" s="18" t="s">
        <v>169</v>
      </c>
    </row>
    <row r="49" spans="1:19" ht="30" customHeight="1" x14ac:dyDescent="0.25">
      <c r="A49" s="34" t="s">
        <v>135</v>
      </c>
      <c r="B49" s="17" t="s">
        <v>136</v>
      </c>
      <c r="C49" s="4">
        <v>10</v>
      </c>
      <c r="D49" s="4" t="s">
        <v>181</v>
      </c>
      <c r="E49" s="7"/>
      <c r="F49" s="13" t="s">
        <v>298</v>
      </c>
      <c r="G49" s="18" t="s">
        <v>169</v>
      </c>
      <c r="H49" s="18" t="s">
        <v>169</v>
      </c>
      <c r="I49" s="18" t="s">
        <v>169</v>
      </c>
      <c r="J49" s="18" t="s">
        <v>169</v>
      </c>
      <c r="K49" s="18" t="s">
        <v>169</v>
      </c>
      <c r="L49" s="18" t="s">
        <v>170</v>
      </c>
      <c r="M49" s="18" t="s">
        <v>169</v>
      </c>
      <c r="N49" s="18" t="s">
        <v>169</v>
      </c>
      <c r="O49" s="18" t="s">
        <v>169</v>
      </c>
      <c r="P49" s="18" t="s">
        <v>170</v>
      </c>
      <c r="Q49" s="18" t="s">
        <v>169</v>
      </c>
      <c r="R49" s="18" t="s">
        <v>169</v>
      </c>
      <c r="S49" s="18" t="s">
        <v>169</v>
      </c>
    </row>
    <row r="50" spans="1:19" ht="30" customHeight="1" x14ac:dyDescent="0.25">
      <c r="A50" s="34" t="s">
        <v>137</v>
      </c>
      <c r="B50" s="17" t="s">
        <v>138</v>
      </c>
      <c r="C50" s="4">
        <v>10</v>
      </c>
      <c r="D50" s="4" t="s">
        <v>181</v>
      </c>
      <c r="E50" s="7"/>
      <c r="F50" s="13" t="s">
        <v>304</v>
      </c>
      <c r="G50" s="18" t="s">
        <v>169</v>
      </c>
      <c r="H50" s="18" t="s">
        <v>169</v>
      </c>
      <c r="I50" s="18" t="s">
        <v>169</v>
      </c>
      <c r="J50" s="18" t="s">
        <v>169</v>
      </c>
      <c r="K50" s="18" t="s">
        <v>169</v>
      </c>
      <c r="L50" s="18" t="s">
        <v>170</v>
      </c>
      <c r="M50" s="18" t="s">
        <v>169</v>
      </c>
      <c r="N50" s="18" t="s">
        <v>169</v>
      </c>
      <c r="O50" s="18" t="s">
        <v>169</v>
      </c>
      <c r="P50" s="18" t="s">
        <v>170</v>
      </c>
      <c r="Q50" s="18" t="s">
        <v>169</v>
      </c>
      <c r="R50" s="18" t="s">
        <v>169</v>
      </c>
      <c r="S50" s="18" t="s">
        <v>169</v>
      </c>
    </row>
    <row r="51" spans="1:19" ht="30" customHeight="1" x14ac:dyDescent="0.25">
      <c r="A51" s="34" t="s">
        <v>152</v>
      </c>
      <c r="B51" s="17" t="s">
        <v>151</v>
      </c>
      <c r="C51" s="4">
        <v>10</v>
      </c>
      <c r="D51" s="4" t="s">
        <v>181</v>
      </c>
      <c r="E51" s="7"/>
      <c r="F51" s="13" t="s">
        <v>313</v>
      </c>
      <c r="G51" s="18" t="s">
        <v>169</v>
      </c>
      <c r="H51" s="18" t="s">
        <v>169</v>
      </c>
      <c r="I51" s="18" t="s">
        <v>169</v>
      </c>
      <c r="J51" s="18" t="s">
        <v>169</v>
      </c>
      <c r="K51" s="18" t="s">
        <v>169</v>
      </c>
      <c r="L51" s="18" t="s">
        <v>170</v>
      </c>
      <c r="M51" s="18" t="s">
        <v>169</v>
      </c>
      <c r="N51" s="18" t="s">
        <v>169</v>
      </c>
      <c r="O51" s="18" t="s">
        <v>169</v>
      </c>
      <c r="P51" s="18" t="s">
        <v>170</v>
      </c>
      <c r="Q51" s="18" t="s">
        <v>169</v>
      </c>
      <c r="R51" s="18" t="s">
        <v>169</v>
      </c>
      <c r="S51" s="18" t="s">
        <v>169</v>
      </c>
    </row>
    <row r="52" spans="1:19" ht="30" customHeight="1" x14ac:dyDescent="0.25">
      <c r="A52" s="80" t="s">
        <v>271</v>
      </c>
      <c r="B52" s="40" t="s">
        <v>272</v>
      </c>
      <c r="C52" s="41">
        <v>10</v>
      </c>
      <c r="D52" s="4" t="s">
        <v>181</v>
      </c>
      <c r="E52" s="41"/>
      <c r="F52" s="13" t="s">
        <v>169</v>
      </c>
      <c r="G52" s="44"/>
      <c r="H52" s="44"/>
      <c r="I52" s="44"/>
      <c r="J52" s="44"/>
      <c r="K52" s="44"/>
      <c r="L52" s="44" t="s">
        <v>170</v>
      </c>
      <c r="M52" s="44"/>
      <c r="N52" s="44"/>
      <c r="O52" s="44"/>
      <c r="P52" s="44" t="s">
        <v>170</v>
      </c>
      <c r="Q52" s="44"/>
      <c r="R52" s="44"/>
      <c r="S52" s="44"/>
    </row>
  </sheetData>
  <hyperlinks>
    <hyperlink ref="B2" r:id="rId1" display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xr:uid="{1895C7C5-B4CB-4916-940F-20FF45675948}"/>
    <hyperlink ref="B12" r:id="rId2" display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xr:uid="{C460FECB-D32C-4536-9723-3E8D924A07C9}"/>
    <hyperlink ref="B10" r:id="rId3" display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xr:uid="{8D5D168D-DD6C-4627-BABB-C09FFF1DCB3C}"/>
    <hyperlink ref="B32" r:id="rId4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F022B4CC-5232-4258-806C-983C5783731F}"/>
    <hyperlink ref="B13" r:id="rId5" xr:uid="{E92B0A9D-8DB8-4F0E-A4C9-F290577842DC}"/>
    <hyperlink ref="B15" r:id="rId6" xr:uid="{9A4F46FC-97D1-4DCC-9F92-D0328D02E41B}"/>
    <hyperlink ref="B16" r:id="rId7" xr:uid="{8716CB4D-3602-479F-8266-313E26B9FEFC}"/>
    <hyperlink ref="B17" r:id="rId8" xr:uid="{F15A2468-F65C-4035-8635-1D609D4A260D}"/>
    <hyperlink ref="B18" r:id="rId9" xr:uid="{AB9B9E52-23C0-4073-946D-71569CBE2B8C}"/>
    <hyperlink ref="B19" r:id="rId10" xr:uid="{29FB2F1B-84CF-4BD9-9AF5-4B482BE3D95E}"/>
    <hyperlink ref="B28" r:id="rId11" xr:uid="{CCF5A7DF-019F-4DF4-B158-D158AD27F6F5}"/>
    <hyperlink ref="B27" r:id="rId12" xr:uid="{C3C419F2-3D86-44E3-9F47-72CD264A8352}"/>
    <hyperlink ref="B26" r:id="rId13" xr:uid="{0236A245-9336-4275-B92E-38032A7A4E28}"/>
    <hyperlink ref="B25" r:id="rId14" xr:uid="{A8ACED3D-CD09-4A19-8B08-B5CECE381CC5}"/>
    <hyperlink ref="B24" r:id="rId15" xr:uid="{52EB8F91-4C0A-4728-9357-C2B79B5916F8}"/>
    <hyperlink ref="B23" r:id="rId16" xr:uid="{12C757FD-B7F1-479A-81C4-99592A07AF56}"/>
    <hyperlink ref="B22" r:id="rId17" xr:uid="{E1142643-0C20-4E1C-97E8-C9E8CA274114}"/>
    <hyperlink ref="B29" r:id="rId18" xr:uid="{CB39C00D-BB7D-4B17-B393-14BD5C22071B}"/>
    <hyperlink ref="B31" r:id="rId19" xr:uid="{C3276FB7-D99D-497D-AA62-733DAF5EE467}"/>
    <hyperlink ref="B33" r:id="rId20" xr:uid="{A5916BAC-2045-4A74-AC23-DE732D26CF24}"/>
    <hyperlink ref="B34" r:id="rId21" xr:uid="{043AC2CC-B1EF-4B65-8919-E3ABB8967F13}"/>
    <hyperlink ref="B14" r:id="rId22" xr:uid="{0F557B65-965D-4323-8656-1DD13936EC1E}"/>
    <hyperlink ref="B39" r:id="rId23" xr:uid="{8334C7D4-044E-4FFB-9DFF-E8E399381C2D}"/>
    <hyperlink ref="B35" r:id="rId24" xr:uid="{57F6C146-C271-44F6-BD84-AE9EDF8EB67E}"/>
    <hyperlink ref="B36" r:id="rId25" xr:uid="{480E6DE2-710D-4376-870A-772D069F0132}"/>
    <hyperlink ref="B37" r:id="rId26" xr:uid="{001243AF-2518-4066-9285-195687543E6A}"/>
    <hyperlink ref="B42" r:id="rId27" xr:uid="{0422C565-ACB8-46F1-B3D7-88E8C5EB89B1}"/>
    <hyperlink ref="B43" r:id="rId28" xr:uid="{A34C86DB-8DE0-4C7C-84ED-737E2DE1B7AF}"/>
    <hyperlink ref="B44" r:id="rId29" xr:uid="{E93D3E41-FAA8-40CB-8C93-7EFCE0039966}"/>
    <hyperlink ref="B45" r:id="rId30" xr:uid="{5867F5DD-3A7D-410E-A420-A78570FD590C}"/>
    <hyperlink ref="B46" r:id="rId31" xr:uid="{1344CB38-C679-4446-974D-03ADDEA8A607}"/>
    <hyperlink ref="B47" r:id="rId32" xr:uid="{0B6F4AA5-16FC-405C-B28B-BF3A039F62E8}"/>
    <hyperlink ref="B48" r:id="rId33" xr:uid="{5F753403-0D3F-4DC9-B7EF-2C7E6948627A}"/>
    <hyperlink ref="B49" r:id="rId34" xr:uid="{A59ABF9B-0EAD-4D6F-B093-C6CA71C95522}"/>
    <hyperlink ref="B50" r:id="rId35" xr:uid="{EA2C26EF-211B-4C86-A94B-C2192E04C82C}"/>
    <hyperlink ref="B51" r:id="rId36" xr:uid="{85B51E66-D331-46E2-8A10-E9E96CFB7E5D}"/>
    <hyperlink ref="B20" r:id="rId37" xr:uid="{0B8712E4-9715-453D-BBE3-0C7294CD8E3E}"/>
    <hyperlink ref="B21" r:id="rId38" xr:uid="{141536A6-A470-40B7-B09B-D5B4B2F155A3}"/>
    <hyperlink ref="B40" r:id="rId39" xr:uid="{4B50A7FE-62E8-47F0-A1E1-40FA86F49DDE}"/>
    <hyperlink ref="B41" r:id="rId40" xr:uid="{07FF2924-1DA1-452E-9112-8AF0447903A2}"/>
    <hyperlink ref="B52" r:id="rId41" xr:uid="{0A48EB1B-1AE7-4330-B533-805B7AB50CCB}"/>
    <hyperlink ref="B11" r:id="rId42" xr:uid="{63BA30B6-3955-4E08-9447-E91B6A701723}"/>
    <hyperlink ref="B30" r:id="rId43" xr:uid="{1943204F-525B-4243-98A0-A43BC0A004F4}"/>
    <hyperlink ref="B3" r:id="rId44" display="https://mylearning.sumtotal.host/rcore/c/pillarRedirect?isDeepLink=1&amp;relyingParty=LM&amp;url=https%3A%2F%2Fmylearning.sumtotal.host%2Flearning%2Fcore%2Factivitydetails%2FViewActivityDetails%3FUserMode%3D0%26ActivityId%3D3735%26ClassUnderStruct%3DFalse%26CallerUrl%3D%2Flearning%2Flearner%2FHome%2FGoToPortal%3Fkey%3D0%26SearchCallerURL%3Dhttps%253A%252F%252Fmylearning.sumtotal.host%252Fcore%252FsearchRedirect%253FViewType%253DList%2526SearchText%253Dvoco%25252520orientation%2526startRow%253D0%26SearchCallerID%3D2" xr:uid="{6EFA64A4-70EA-45C1-84EB-D50D0E583E25}"/>
    <hyperlink ref="B4" r:id="rId45" display="https://mylearning.sumtotal.host/rcore/c/pillarRedirect?isDeepLink=1&amp;relyingParty=LM&amp;url=https%3A%2F%2Fmylearning.sumtotal.host%2Flearning%2Fcore%2Factivitydetails%2FViewActivityDetails%3FUserMode%3D0%26ActivityId%3D6426%26ClassUnderStruct%3DFalse%26CallerUrl%3D%2Flearning%2Flearner%2FHome%2FGoToPortal%3Fkey%3D0%26SearchCallerURL%3Dhttps%253A%252F%252Fmylearning.sumtotal.host%252Fcore%252FsearchRedirect%253FViewType%253DList%2526SearchText%253Dvoco%25252520experience%2526startRow%253D0%26SearchCallerID%3D2" xr:uid="{23B7E03D-5FBE-493C-BA40-4D2052E9B271}"/>
    <hyperlink ref="B9" r:id="rId46" display="Hotel Experience Champion Guide" xr:uid="{F2885E58-6E3E-46F8-AEA6-4ABAFCCCB983}"/>
    <hyperlink ref="B5" r:id="rId47" display="Managed Hotel - Leaders Guide" xr:uid="{D4092DA9-B2C5-439B-9629-2A20AD0D295E}"/>
    <hyperlink ref="B6" r:id="rId48" xr:uid="{89A7E20B-009F-475A-B9AF-EE48D182FA25}"/>
    <hyperlink ref="B7" r:id="rId49" xr:uid="{8A01154B-A1FA-4D0B-935E-13AE6A10DE24}"/>
    <hyperlink ref="B8" r:id="rId50" xr:uid="{95732587-4619-4BAB-B62D-D22030B61825}"/>
    <hyperlink ref="B38" r:id="rId51" display="IHG53503" xr:uid="{3B4AC72E-880B-4CA6-8BBB-0D12FC7B434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FFEDC-F109-4A35-A85E-DAA1A0A73303}">
  <sheetPr codeName="Sheet12">
    <tabColor rgb="FFA00062"/>
  </sheetPr>
  <dimension ref="A1:S53"/>
  <sheetViews>
    <sheetView zoomScale="85" zoomScaleNormal="85" workbookViewId="0">
      <pane ySplit="1" topLeftCell="A38" activePane="bottomLeft" state="frozen"/>
      <selection activeCell="B1" sqref="B1:B1048576"/>
      <selection pane="bottomLeft" activeCell="B48" sqref="B48"/>
    </sheetView>
  </sheetViews>
  <sheetFormatPr defaultColWidth="9.140625" defaultRowHeight="30" customHeight="1" x14ac:dyDescent="0.25"/>
  <cols>
    <col min="1" max="1" width="48.7109375" style="38" customWidth="1"/>
    <col min="2" max="2" width="16.7109375" style="23" customWidth="1"/>
    <col min="3" max="5" width="22.7109375" style="9" customWidth="1"/>
    <col min="6" max="6" width="31.7109375" style="23" customWidth="1"/>
    <col min="7" max="19" width="19.5703125" style="23" customWidth="1"/>
    <col min="20" max="16384" width="9.140625" style="23"/>
  </cols>
  <sheetData>
    <row r="1" spans="1:19" ht="30" customHeight="1" x14ac:dyDescent="0.25">
      <c r="A1" s="33" t="s">
        <v>31</v>
      </c>
      <c r="B1" s="13" t="s">
        <v>50</v>
      </c>
      <c r="C1" s="4" t="s">
        <v>182</v>
      </c>
      <c r="D1" s="4" t="s">
        <v>183</v>
      </c>
      <c r="E1" s="4" t="s">
        <v>184</v>
      </c>
      <c r="F1" s="13" t="s">
        <v>51</v>
      </c>
      <c r="G1" s="13" t="s">
        <v>52</v>
      </c>
      <c r="H1" s="13" t="s">
        <v>53</v>
      </c>
      <c r="I1" s="13" t="s">
        <v>54</v>
      </c>
      <c r="J1" s="13" t="s">
        <v>55</v>
      </c>
      <c r="K1" s="13" t="s">
        <v>56</v>
      </c>
      <c r="L1" s="13" t="s">
        <v>57</v>
      </c>
      <c r="M1" s="13" t="s">
        <v>58</v>
      </c>
      <c r="N1" s="13" t="s">
        <v>59</v>
      </c>
      <c r="O1" s="13" t="s">
        <v>60</v>
      </c>
      <c r="P1" s="13" t="s">
        <v>61</v>
      </c>
      <c r="Q1" s="13" t="s">
        <v>62</v>
      </c>
      <c r="R1" s="13" t="s">
        <v>63</v>
      </c>
      <c r="S1" s="13" t="s">
        <v>64</v>
      </c>
    </row>
    <row r="2" spans="1:19" ht="30" customHeight="1" x14ac:dyDescent="0.25">
      <c r="A2" s="30" t="s">
        <v>65</v>
      </c>
      <c r="B2" s="12" t="s">
        <v>66</v>
      </c>
      <c r="C2" s="4">
        <v>3</v>
      </c>
      <c r="D2" s="4" t="s">
        <v>174</v>
      </c>
      <c r="E2" s="4"/>
      <c r="F2" s="13" t="s">
        <v>294</v>
      </c>
      <c r="G2" s="13" t="s">
        <v>170</v>
      </c>
      <c r="H2" s="13" t="s">
        <v>170</v>
      </c>
      <c r="I2" s="13" t="s">
        <v>170</v>
      </c>
      <c r="J2" s="13" t="s">
        <v>170</v>
      </c>
      <c r="K2" s="13" t="s">
        <v>170</v>
      </c>
      <c r="L2" s="13" t="s">
        <v>170</v>
      </c>
      <c r="M2" s="13" t="s">
        <v>170</v>
      </c>
      <c r="N2" s="13" t="s">
        <v>170</v>
      </c>
      <c r="O2" s="13" t="s">
        <v>170</v>
      </c>
      <c r="P2" s="13" t="s">
        <v>170</v>
      </c>
      <c r="Q2" s="13" t="s">
        <v>170</v>
      </c>
      <c r="R2" s="13" t="s">
        <v>170</v>
      </c>
      <c r="S2" s="13" t="s">
        <v>170</v>
      </c>
    </row>
    <row r="3" spans="1:19" ht="30" customHeight="1" x14ac:dyDescent="0.25">
      <c r="A3" s="30" t="s">
        <v>153</v>
      </c>
      <c r="B3" s="31" t="s">
        <v>154</v>
      </c>
      <c r="C3" s="4">
        <v>3</v>
      </c>
      <c r="D3" s="4" t="s">
        <v>174</v>
      </c>
      <c r="E3" s="4"/>
      <c r="F3" s="13" t="s">
        <v>311</v>
      </c>
      <c r="G3" s="13" t="s">
        <v>170</v>
      </c>
      <c r="H3" s="13" t="s">
        <v>170</v>
      </c>
      <c r="I3" s="13" t="s">
        <v>170</v>
      </c>
      <c r="J3" s="13" t="s">
        <v>170</v>
      </c>
      <c r="K3" s="13" t="s">
        <v>170</v>
      </c>
      <c r="L3" s="13" t="s">
        <v>170</v>
      </c>
      <c r="M3" s="13" t="s">
        <v>170</v>
      </c>
      <c r="N3" s="13" t="s">
        <v>170</v>
      </c>
      <c r="O3" s="13" t="s">
        <v>170</v>
      </c>
      <c r="P3" s="13" t="s">
        <v>170</v>
      </c>
      <c r="Q3" s="13" t="s">
        <v>170</v>
      </c>
      <c r="R3" s="13" t="s">
        <v>170</v>
      </c>
      <c r="S3" s="13" t="s">
        <v>170</v>
      </c>
    </row>
    <row r="4" spans="1:19" ht="30" customHeight="1" x14ac:dyDescent="0.25">
      <c r="A4" s="30" t="s">
        <v>276</v>
      </c>
      <c r="B4" s="31" t="s">
        <v>155</v>
      </c>
      <c r="C4" s="4">
        <v>3</v>
      </c>
      <c r="D4" s="4" t="s">
        <v>174</v>
      </c>
      <c r="E4" s="4"/>
      <c r="F4" s="11" t="s">
        <v>314</v>
      </c>
      <c r="G4" s="13" t="s">
        <v>170</v>
      </c>
      <c r="H4" s="13" t="s">
        <v>170</v>
      </c>
      <c r="I4" s="13" t="s">
        <v>170</v>
      </c>
      <c r="J4" s="13" t="s">
        <v>170</v>
      </c>
      <c r="K4" s="13" t="s">
        <v>170</v>
      </c>
      <c r="L4" s="13" t="s">
        <v>170</v>
      </c>
      <c r="M4" s="13" t="s">
        <v>170</v>
      </c>
      <c r="N4" s="13" t="s">
        <v>170</v>
      </c>
      <c r="O4" s="13" t="s">
        <v>170</v>
      </c>
      <c r="P4" s="13" t="s">
        <v>170</v>
      </c>
      <c r="Q4" s="13" t="s">
        <v>170</v>
      </c>
      <c r="R4" s="13" t="s">
        <v>170</v>
      </c>
      <c r="S4" s="13" t="s">
        <v>170</v>
      </c>
    </row>
    <row r="5" spans="1:19" ht="76.5" x14ac:dyDescent="0.25">
      <c r="A5" s="30" t="s">
        <v>279</v>
      </c>
      <c r="B5" s="31" t="s">
        <v>156</v>
      </c>
      <c r="C5" s="4">
        <v>3</v>
      </c>
      <c r="D5" s="4" t="s">
        <v>174</v>
      </c>
      <c r="E5" s="4"/>
      <c r="F5" s="11" t="s">
        <v>315</v>
      </c>
      <c r="G5" s="13" t="s">
        <v>170</v>
      </c>
      <c r="H5" s="13" t="s">
        <v>170</v>
      </c>
      <c r="I5" s="13" t="s">
        <v>170</v>
      </c>
      <c r="J5" s="13" t="s">
        <v>170</v>
      </c>
      <c r="K5" s="13" t="s">
        <v>170</v>
      </c>
      <c r="L5" s="13" t="s">
        <v>170</v>
      </c>
      <c r="M5" s="13" t="s">
        <v>170</v>
      </c>
      <c r="N5" s="13" t="s">
        <v>170</v>
      </c>
      <c r="O5" s="13" t="s">
        <v>170</v>
      </c>
      <c r="P5" s="13" t="s">
        <v>170</v>
      </c>
      <c r="Q5" s="13" t="s">
        <v>170</v>
      </c>
      <c r="R5" s="13" t="s">
        <v>170</v>
      </c>
      <c r="S5" s="13" t="s">
        <v>170</v>
      </c>
    </row>
    <row r="6" spans="1:19" ht="38.25" customHeight="1" x14ac:dyDescent="0.25">
      <c r="A6" s="33" t="s">
        <v>292</v>
      </c>
      <c r="B6" s="16" t="s">
        <v>286</v>
      </c>
      <c r="C6" s="4">
        <v>3</v>
      </c>
      <c r="D6" s="4" t="s">
        <v>174</v>
      </c>
      <c r="E6" s="4"/>
      <c r="F6" s="13" t="s">
        <v>290</v>
      </c>
      <c r="G6" s="13" t="s">
        <v>170</v>
      </c>
      <c r="H6" s="13" t="s">
        <v>170</v>
      </c>
      <c r="I6" s="13" t="s">
        <v>170</v>
      </c>
      <c r="J6" s="13" t="s">
        <v>170</v>
      </c>
      <c r="K6" s="13" t="s">
        <v>170</v>
      </c>
      <c r="L6" s="13" t="s">
        <v>170</v>
      </c>
      <c r="M6" s="13" t="s">
        <v>170</v>
      </c>
      <c r="N6" s="13"/>
      <c r="O6" s="13"/>
      <c r="P6" s="13"/>
      <c r="Q6" s="13"/>
      <c r="R6" s="13" t="s">
        <v>170</v>
      </c>
      <c r="S6" s="13"/>
    </row>
    <row r="7" spans="1:19" ht="38.25" customHeight="1" x14ac:dyDescent="0.25">
      <c r="A7" s="33" t="s">
        <v>292</v>
      </c>
      <c r="B7" s="16" t="s">
        <v>287</v>
      </c>
      <c r="C7" s="4">
        <v>3</v>
      </c>
      <c r="D7" s="4" t="s">
        <v>174</v>
      </c>
      <c r="E7" s="4"/>
      <c r="F7" s="13" t="s">
        <v>290</v>
      </c>
      <c r="G7" s="13"/>
      <c r="H7" s="13"/>
      <c r="I7" s="13"/>
      <c r="J7" s="13"/>
      <c r="K7" s="13"/>
      <c r="L7" s="13"/>
      <c r="M7" s="13"/>
      <c r="N7" s="13" t="s">
        <v>170</v>
      </c>
      <c r="O7" s="13" t="s">
        <v>170</v>
      </c>
      <c r="P7" s="13" t="s">
        <v>170</v>
      </c>
      <c r="Q7" s="13" t="s">
        <v>170</v>
      </c>
      <c r="R7" s="13"/>
      <c r="S7" s="13" t="s">
        <v>170</v>
      </c>
    </row>
    <row r="8" spans="1:19" ht="38.25" x14ac:dyDescent="0.25">
      <c r="A8" s="33" t="s">
        <v>293</v>
      </c>
      <c r="B8" s="16" t="s">
        <v>288</v>
      </c>
      <c r="C8" s="4">
        <v>3</v>
      </c>
      <c r="D8" s="4" t="s">
        <v>174</v>
      </c>
      <c r="E8" s="4"/>
      <c r="F8" s="13" t="s">
        <v>291</v>
      </c>
      <c r="G8" s="13" t="s">
        <v>170</v>
      </c>
      <c r="H8" s="13" t="s">
        <v>170</v>
      </c>
      <c r="I8" s="13" t="s">
        <v>170</v>
      </c>
      <c r="J8" s="13" t="s">
        <v>170</v>
      </c>
      <c r="K8" s="13" t="s">
        <v>170</v>
      </c>
      <c r="L8" s="13" t="s">
        <v>170</v>
      </c>
      <c r="M8" s="13" t="s">
        <v>170</v>
      </c>
      <c r="N8" s="13"/>
      <c r="O8" s="13"/>
      <c r="P8" s="13"/>
      <c r="Q8" s="13"/>
      <c r="R8" s="13" t="s">
        <v>170</v>
      </c>
      <c r="S8" s="13"/>
    </row>
    <row r="9" spans="1:19" ht="38.25" x14ac:dyDescent="0.25">
      <c r="A9" s="33" t="s">
        <v>293</v>
      </c>
      <c r="B9" s="16" t="s">
        <v>289</v>
      </c>
      <c r="C9" s="4">
        <v>3</v>
      </c>
      <c r="D9" s="4" t="s">
        <v>174</v>
      </c>
      <c r="E9" s="4"/>
      <c r="F9" s="13" t="s">
        <v>291</v>
      </c>
      <c r="G9" s="13"/>
      <c r="H9" s="13"/>
      <c r="I9" s="13"/>
      <c r="J9" s="13"/>
      <c r="K9" s="13"/>
      <c r="L9" s="13"/>
      <c r="M9" s="13"/>
      <c r="N9" s="13" t="s">
        <v>170</v>
      </c>
      <c r="O9" s="13" t="s">
        <v>170</v>
      </c>
      <c r="P9" s="13" t="s">
        <v>170</v>
      </c>
      <c r="Q9" s="13" t="s">
        <v>170</v>
      </c>
      <c r="R9" s="13"/>
      <c r="S9" s="13" t="s">
        <v>170</v>
      </c>
    </row>
    <row r="10" spans="1:19" ht="63.75" x14ac:dyDescent="0.25">
      <c r="A10" s="33" t="s">
        <v>69</v>
      </c>
      <c r="B10" s="16" t="s">
        <v>285</v>
      </c>
      <c r="C10" s="4">
        <v>3</v>
      </c>
      <c r="D10" s="4" t="s">
        <v>174</v>
      </c>
      <c r="E10" s="4"/>
      <c r="F10" s="4" t="s">
        <v>284</v>
      </c>
      <c r="G10" s="55" t="s">
        <v>170</v>
      </c>
      <c r="H10" s="13" t="s">
        <v>169</v>
      </c>
      <c r="I10" s="13" t="s">
        <v>169</v>
      </c>
      <c r="J10" s="13" t="s">
        <v>169</v>
      </c>
      <c r="K10" s="13" t="s">
        <v>169</v>
      </c>
      <c r="L10" s="13" t="s">
        <v>169</v>
      </c>
      <c r="M10" s="13" t="s">
        <v>169</v>
      </c>
      <c r="N10" s="13" t="s">
        <v>169</v>
      </c>
      <c r="O10" s="13" t="s">
        <v>169</v>
      </c>
      <c r="P10" s="13" t="s">
        <v>169</v>
      </c>
      <c r="Q10" s="13" t="s">
        <v>169</v>
      </c>
      <c r="R10" s="13" t="s">
        <v>169</v>
      </c>
      <c r="S10" s="13" t="s">
        <v>169</v>
      </c>
    </row>
    <row r="11" spans="1:19" ht="30" customHeight="1" x14ac:dyDescent="0.25">
      <c r="A11" s="33" t="s">
        <v>70</v>
      </c>
      <c r="B11" s="12" t="s">
        <v>71</v>
      </c>
      <c r="C11" s="4">
        <v>4</v>
      </c>
      <c r="D11" s="4" t="s">
        <v>175</v>
      </c>
      <c r="E11" s="4"/>
      <c r="F11" s="13" t="s">
        <v>295</v>
      </c>
      <c r="G11" s="13" t="s">
        <v>170</v>
      </c>
      <c r="H11" s="13" t="s">
        <v>170</v>
      </c>
      <c r="I11" s="13" t="s">
        <v>170</v>
      </c>
      <c r="J11" s="13" t="s">
        <v>170</v>
      </c>
      <c r="K11" s="13" t="s">
        <v>170</v>
      </c>
      <c r="L11" s="13" t="s">
        <v>170</v>
      </c>
      <c r="M11" s="13" t="s">
        <v>170</v>
      </c>
      <c r="N11" s="13" t="s">
        <v>169</v>
      </c>
      <c r="O11" s="13" t="s">
        <v>169</v>
      </c>
      <c r="P11" s="13" t="s">
        <v>169</v>
      </c>
      <c r="Q11" s="13" t="s">
        <v>169</v>
      </c>
      <c r="R11" s="13" t="s">
        <v>170</v>
      </c>
      <c r="S11" s="13" t="s">
        <v>169</v>
      </c>
    </row>
    <row r="12" spans="1:19" ht="30" customHeight="1" x14ac:dyDescent="0.25">
      <c r="A12" s="33" t="s">
        <v>274</v>
      </c>
      <c r="B12" s="16" t="s">
        <v>274</v>
      </c>
      <c r="C12" s="4">
        <v>10</v>
      </c>
      <c r="D12" s="4" t="s">
        <v>181</v>
      </c>
      <c r="E12" s="4"/>
      <c r="F12" s="13" t="s">
        <v>273</v>
      </c>
      <c r="G12" s="13" t="s">
        <v>170</v>
      </c>
      <c r="H12" s="13" t="s">
        <v>170</v>
      </c>
      <c r="I12" s="13" t="s">
        <v>170</v>
      </c>
      <c r="J12" s="13" t="s">
        <v>170</v>
      </c>
      <c r="K12" s="13" t="s">
        <v>170</v>
      </c>
      <c r="L12" s="13" t="s">
        <v>170</v>
      </c>
      <c r="M12" s="13" t="s">
        <v>170</v>
      </c>
      <c r="N12" s="13" t="s">
        <v>169</v>
      </c>
      <c r="O12" s="13" t="s">
        <v>169</v>
      </c>
      <c r="P12" s="13" t="s">
        <v>169</v>
      </c>
      <c r="Q12" s="13" t="s">
        <v>169</v>
      </c>
      <c r="R12" s="13" t="s">
        <v>170</v>
      </c>
      <c r="S12" s="13" t="s">
        <v>169</v>
      </c>
    </row>
    <row r="13" spans="1:19" ht="30" customHeight="1" x14ac:dyDescent="0.25">
      <c r="A13" s="33" t="s">
        <v>168</v>
      </c>
      <c r="B13" s="12" t="s">
        <v>72</v>
      </c>
      <c r="C13" s="4">
        <v>3</v>
      </c>
      <c r="D13" s="4" t="s">
        <v>174</v>
      </c>
      <c r="E13" s="4"/>
      <c r="F13" s="13" t="s">
        <v>296</v>
      </c>
      <c r="G13" s="13" t="s">
        <v>170</v>
      </c>
      <c r="H13" s="13" t="s">
        <v>170</v>
      </c>
      <c r="I13" s="13" t="s">
        <v>170</v>
      </c>
      <c r="J13" s="13" t="s">
        <v>170</v>
      </c>
      <c r="K13" s="13" t="s">
        <v>170</v>
      </c>
      <c r="L13" s="13" t="s">
        <v>170</v>
      </c>
      <c r="M13" s="13" t="s">
        <v>170</v>
      </c>
      <c r="N13" s="13" t="s">
        <v>170</v>
      </c>
      <c r="O13" s="13" t="s">
        <v>170</v>
      </c>
      <c r="P13" s="13" t="s">
        <v>170</v>
      </c>
      <c r="Q13" s="13" t="s">
        <v>170</v>
      </c>
      <c r="R13" s="13" t="s">
        <v>170</v>
      </c>
      <c r="S13" s="13" t="s">
        <v>170</v>
      </c>
    </row>
    <row r="14" spans="1:19" ht="30" customHeight="1" x14ac:dyDescent="0.25">
      <c r="A14" s="33" t="s">
        <v>73</v>
      </c>
      <c r="B14" s="17" t="s">
        <v>74</v>
      </c>
      <c r="C14" s="4">
        <v>3</v>
      </c>
      <c r="D14" s="4" t="s">
        <v>174</v>
      </c>
      <c r="E14" s="4"/>
      <c r="F14" s="13" t="s">
        <v>297</v>
      </c>
      <c r="G14" s="13" t="s">
        <v>170</v>
      </c>
      <c r="H14" s="13" t="s">
        <v>170</v>
      </c>
      <c r="I14" s="13" t="s">
        <v>170</v>
      </c>
      <c r="J14" s="13" t="s">
        <v>170</v>
      </c>
      <c r="K14" s="13" t="s">
        <v>170</v>
      </c>
      <c r="L14" s="13" t="s">
        <v>170</v>
      </c>
      <c r="M14" s="13" t="s">
        <v>170</v>
      </c>
      <c r="N14" s="13" t="s">
        <v>170</v>
      </c>
      <c r="O14" s="13" t="s">
        <v>170</v>
      </c>
      <c r="P14" s="13" t="s">
        <v>170</v>
      </c>
      <c r="Q14" s="13" t="s">
        <v>170</v>
      </c>
      <c r="R14" s="13" t="s">
        <v>170</v>
      </c>
      <c r="S14" s="13" t="s">
        <v>170</v>
      </c>
    </row>
    <row r="15" spans="1:19" ht="30" customHeight="1" x14ac:dyDescent="0.25">
      <c r="A15" s="33" t="s">
        <v>75</v>
      </c>
      <c r="B15" s="17" t="s">
        <v>76</v>
      </c>
      <c r="C15" s="4">
        <v>3</v>
      </c>
      <c r="D15" s="4" t="s">
        <v>174</v>
      </c>
      <c r="E15" s="4"/>
      <c r="F15" s="13" t="s">
        <v>297</v>
      </c>
      <c r="G15" s="13" t="s">
        <v>170</v>
      </c>
      <c r="H15" s="13" t="s">
        <v>170</v>
      </c>
      <c r="I15" s="13" t="s">
        <v>170</v>
      </c>
      <c r="J15" s="13" t="s">
        <v>170</v>
      </c>
      <c r="K15" s="13" t="s">
        <v>170</v>
      </c>
      <c r="L15" s="13" t="s">
        <v>170</v>
      </c>
      <c r="M15" s="13" t="s">
        <v>170</v>
      </c>
      <c r="N15" s="13" t="s">
        <v>169</v>
      </c>
      <c r="O15" s="13" t="s">
        <v>169</v>
      </c>
      <c r="P15" s="13" t="s">
        <v>169</v>
      </c>
      <c r="Q15" s="13" t="s">
        <v>169</v>
      </c>
      <c r="R15" s="13" t="s">
        <v>170</v>
      </c>
      <c r="S15" s="13" t="s">
        <v>169</v>
      </c>
    </row>
    <row r="16" spans="1:19" ht="30" customHeight="1" x14ac:dyDescent="0.25">
      <c r="A16" s="33" t="s">
        <v>77</v>
      </c>
      <c r="B16" s="17" t="s">
        <v>78</v>
      </c>
      <c r="C16" s="4">
        <v>3</v>
      </c>
      <c r="D16" s="4" t="s">
        <v>174</v>
      </c>
      <c r="E16" s="4"/>
      <c r="F16" s="13" t="s">
        <v>297</v>
      </c>
      <c r="G16" s="13" t="s">
        <v>170</v>
      </c>
      <c r="H16" s="13" t="s">
        <v>170</v>
      </c>
      <c r="I16" s="13" t="s">
        <v>170</v>
      </c>
      <c r="J16" s="13" t="s">
        <v>170</v>
      </c>
      <c r="K16" s="13" t="s">
        <v>170</v>
      </c>
      <c r="L16" s="13" t="s">
        <v>170</v>
      </c>
      <c r="M16" s="13" t="s">
        <v>170</v>
      </c>
      <c r="N16" s="13" t="s">
        <v>170</v>
      </c>
      <c r="O16" s="13" t="s">
        <v>170</v>
      </c>
      <c r="P16" s="13" t="s">
        <v>170</v>
      </c>
      <c r="Q16" s="13" t="s">
        <v>170</v>
      </c>
      <c r="R16" s="13" t="s">
        <v>170</v>
      </c>
      <c r="S16" s="13" t="s">
        <v>170</v>
      </c>
    </row>
    <row r="17" spans="1:19" ht="30" customHeight="1" x14ac:dyDescent="0.25">
      <c r="A17" s="33" t="s">
        <v>79</v>
      </c>
      <c r="B17" s="17" t="s">
        <v>80</v>
      </c>
      <c r="C17" s="4">
        <v>3</v>
      </c>
      <c r="D17" s="4" t="s">
        <v>174</v>
      </c>
      <c r="E17" s="4"/>
      <c r="F17" s="13" t="s">
        <v>298</v>
      </c>
      <c r="G17" s="13" t="s">
        <v>170</v>
      </c>
      <c r="H17" s="13" t="s">
        <v>170</v>
      </c>
      <c r="I17" s="13" t="s">
        <v>170</v>
      </c>
      <c r="J17" s="13" t="s">
        <v>170</v>
      </c>
      <c r="K17" s="13" t="s">
        <v>170</v>
      </c>
      <c r="L17" s="13" t="s">
        <v>170</v>
      </c>
      <c r="M17" s="13" t="s">
        <v>170</v>
      </c>
      <c r="N17" s="13" t="s">
        <v>170</v>
      </c>
      <c r="O17" s="13" t="s">
        <v>170</v>
      </c>
      <c r="P17" s="13" t="s">
        <v>170</v>
      </c>
      <c r="Q17" s="13" t="s">
        <v>170</v>
      </c>
      <c r="R17" s="13" t="s">
        <v>170</v>
      </c>
      <c r="S17" s="13" t="s">
        <v>170</v>
      </c>
    </row>
    <row r="18" spans="1:19" ht="30" customHeight="1" x14ac:dyDescent="0.25">
      <c r="A18" s="33" t="s">
        <v>81</v>
      </c>
      <c r="B18" s="17" t="s">
        <v>82</v>
      </c>
      <c r="C18" s="4">
        <v>3</v>
      </c>
      <c r="D18" s="4" t="s">
        <v>174</v>
      </c>
      <c r="E18" s="4"/>
      <c r="F18" s="13" t="s">
        <v>297</v>
      </c>
      <c r="G18" s="13" t="s">
        <v>170</v>
      </c>
      <c r="H18" s="13" t="s">
        <v>170</v>
      </c>
      <c r="I18" s="13" t="s">
        <v>170</v>
      </c>
      <c r="J18" s="13" t="s">
        <v>170</v>
      </c>
      <c r="K18" s="13" t="s">
        <v>170</v>
      </c>
      <c r="L18" s="13" t="s">
        <v>170</v>
      </c>
      <c r="M18" s="13" t="s">
        <v>170</v>
      </c>
      <c r="N18" s="13" t="s">
        <v>170</v>
      </c>
      <c r="O18" s="13" t="s">
        <v>170</v>
      </c>
      <c r="P18" s="13" t="s">
        <v>170</v>
      </c>
      <c r="Q18" s="13" t="s">
        <v>170</v>
      </c>
      <c r="R18" s="13" t="s">
        <v>170</v>
      </c>
      <c r="S18" s="13" t="s">
        <v>170</v>
      </c>
    </row>
    <row r="19" spans="1:19" ht="30" customHeight="1" x14ac:dyDescent="0.25">
      <c r="A19" s="33" t="s">
        <v>83</v>
      </c>
      <c r="B19" s="17" t="s">
        <v>84</v>
      </c>
      <c r="C19" s="4">
        <v>10</v>
      </c>
      <c r="D19" s="4" t="s">
        <v>181</v>
      </c>
      <c r="E19" s="4"/>
      <c r="F19" s="13" t="s">
        <v>304</v>
      </c>
      <c r="G19" s="13" t="s">
        <v>170</v>
      </c>
      <c r="H19" s="13" t="s">
        <v>170</v>
      </c>
      <c r="I19" s="13" t="s">
        <v>170</v>
      </c>
      <c r="J19" s="13" t="s">
        <v>170</v>
      </c>
      <c r="K19" s="13" t="s">
        <v>170</v>
      </c>
      <c r="L19" s="13" t="s">
        <v>170</v>
      </c>
      <c r="M19" s="13" t="s">
        <v>170</v>
      </c>
      <c r="N19" s="13" t="s">
        <v>170</v>
      </c>
      <c r="O19" s="13" t="s">
        <v>169</v>
      </c>
      <c r="P19" s="13" t="s">
        <v>169</v>
      </c>
      <c r="Q19" s="13" t="s">
        <v>169</v>
      </c>
      <c r="R19" s="13" t="s">
        <v>170</v>
      </c>
      <c r="S19" s="13" t="s">
        <v>170</v>
      </c>
    </row>
    <row r="20" spans="1:19" ht="30" customHeight="1" x14ac:dyDescent="0.25">
      <c r="A20" s="33" t="s">
        <v>85</v>
      </c>
      <c r="B20" s="17" t="s">
        <v>86</v>
      </c>
      <c r="C20" s="4">
        <v>10</v>
      </c>
      <c r="D20" s="4" t="s">
        <v>181</v>
      </c>
      <c r="E20" s="4"/>
      <c r="F20" s="13" t="s">
        <v>304</v>
      </c>
      <c r="G20" s="13" t="s">
        <v>170</v>
      </c>
      <c r="H20" s="13" t="s">
        <v>169</v>
      </c>
      <c r="I20" s="13" t="s">
        <v>169</v>
      </c>
      <c r="J20" s="13" t="s">
        <v>170</v>
      </c>
      <c r="K20" s="13" t="s">
        <v>169</v>
      </c>
      <c r="L20" s="13" t="s">
        <v>169</v>
      </c>
      <c r="M20" s="13" t="s">
        <v>169</v>
      </c>
      <c r="N20" s="13" t="s">
        <v>170</v>
      </c>
      <c r="O20" s="13" t="s">
        <v>169</v>
      </c>
      <c r="P20" s="13" t="s">
        <v>169</v>
      </c>
      <c r="Q20" s="13" t="s">
        <v>169</v>
      </c>
      <c r="R20" s="13" t="s">
        <v>169</v>
      </c>
      <c r="S20" s="13" t="s">
        <v>169</v>
      </c>
    </row>
    <row r="21" spans="1:19" ht="30" customHeight="1" x14ac:dyDescent="0.25">
      <c r="A21" s="33" t="s">
        <v>87</v>
      </c>
      <c r="B21" s="15" t="s">
        <v>88</v>
      </c>
      <c r="C21" s="4">
        <v>3</v>
      </c>
      <c r="D21" s="4" t="s">
        <v>174</v>
      </c>
      <c r="E21" s="4"/>
      <c r="F21" s="13" t="s">
        <v>299</v>
      </c>
      <c r="G21" s="13" t="s">
        <v>169</v>
      </c>
      <c r="H21" s="13" t="s">
        <v>169</v>
      </c>
      <c r="I21" s="13" t="s">
        <v>169</v>
      </c>
      <c r="J21" s="13" t="s">
        <v>169</v>
      </c>
      <c r="K21" s="13" t="s">
        <v>170</v>
      </c>
      <c r="L21" s="13" t="s">
        <v>169</v>
      </c>
      <c r="M21" s="13" t="s">
        <v>169</v>
      </c>
      <c r="N21" s="13" t="s">
        <v>169</v>
      </c>
      <c r="O21" s="13" t="s">
        <v>170</v>
      </c>
      <c r="P21" s="13" t="s">
        <v>170</v>
      </c>
      <c r="Q21" s="13" t="s">
        <v>169</v>
      </c>
      <c r="R21" s="13" t="s">
        <v>169</v>
      </c>
      <c r="S21" s="13" t="s">
        <v>169</v>
      </c>
    </row>
    <row r="22" spans="1:19" ht="30" customHeight="1" x14ac:dyDescent="0.25">
      <c r="A22" s="33" t="s">
        <v>89</v>
      </c>
      <c r="B22" s="16" t="s">
        <v>90</v>
      </c>
      <c r="C22" s="4">
        <v>3</v>
      </c>
      <c r="D22" s="4" t="s">
        <v>174</v>
      </c>
      <c r="E22" s="4"/>
      <c r="F22" s="13" t="s">
        <v>300</v>
      </c>
      <c r="G22" s="13" t="s">
        <v>170</v>
      </c>
      <c r="H22" s="13" t="s">
        <v>170</v>
      </c>
      <c r="I22" s="13" t="s">
        <v>170</v>
      </c>
      <c r="J22" s="13" t="s">
        <v>170</v>
      </c>
      <c r="K22" s="13" t="s">
        <v>169</v>
      </c>
      <c r="L22" s="13" t="s">
        <v>170</v>
      </c>
      <c r="M22" s="13" t="s">
        <v>170</v>
      </c>
      <c r="N22" s="13" t="s">
        <v>170</v>
      </c>
      <c r="O22" s="13" t="s">
        <v>169</v>
      </c>
      <c r="P22" s="13" t="s">
        <v>169</v>
      </c>
      <c r="Q22" s="13" t="s">
        <v>170</v>
      </c>
      <c r="R22" s="13" t="s">
        <v>170</v>
      </c>
      <c r="S22" s="13" t="s">
        <v>170</v>
      </c>
    </row>
    <row r="23" spans="1:19" ht="30" customHeight="1" x14ac:dyDescent="0.25">
      <c r="A23" s="33" t="s">
        <v>91</v>
      </c>
      <c r="B23" s="17" t="s">
        <v>92</v>
      </c>
      <c r="C23" s="4">
        <v>10</v>
      </c>
      <c r="D23" s="4" t="s">
        <v>181</v>
      </c>
      <c r="E23" s="4"/>
      <c r="F23" s="13" t="s">
        <v>304</v>
      </c>
      <c r="G23" s="13" t="s">
        <v>170</v>
      </c>
      <c r="H23" s="13" t="s">
        <v>170</v>
      </c>
      <c r="I23" s="13" t="s">
        <v>170</v>
      </c>
      <c r="J23" s="13" t="s">
        <v>170</v>
      </c>
      <c r="K23" s="13" t="s">
        <v>169</v>
      </c>
      <c r="L23" s="13" t="s">
        <v>169</v>
      </c>
      <c r="M23" s="13" t="s">
        <v>169</v>
      </c>
      <c r="N23" s="13" t="s">
        <v>169</v>
      </c>
      <c r="O23" s="13" t="s">
        <v>169</v>
      </c>
      <c r="P23" s="13" t="s">
        <v>169</v>
      </c>
      <c r="Q23" s="13" t="s">
        <v>169</v>
      </c>
      <c r="R23" s="13" t="s">
        <v>169</v>
      </c>
      <c r="S23" s="13" t="s">
        <v>169</v>
      </c>
    </row>
    <row r="24" spans="1:19" ht="30" customHeight="1" x14ac:dyDescent="0.25">
      <c r="A24" s="33" t="s">
        <v>93</v>
      </c>
      <c r="B24" s="17" t="s">
        <v>94</v>
      </c>
      <c r="C24" s="4">
        <v>10</v>
      </c>
      <c r="D24" s="4" t="s">
        <v>181</v>
      </c>
      <c r="E24" s="4"/>
      <c r="F24" s="13" t="s">
        <v>304</v>
      </c>
      <c r="G24" s="13" t="s">
        <v>170</v>
      </c>
      <c r="H24" s="13" t="s">
        <v>169</v>
      </c>
      <c r="I24" s="13" t="s">
        <v>169</v>
      </c>
      <c r="J24" s="13" t="s">
        <v>169</v>
      </c>
      <c r="K24" s="13" t="s">
        <v>169</v>
      </c>
      <c r="L24" s="13" t="s">
        <v>169</v>
      </c>
      <c r="M24" s="13" t="s">
        <v>169</v>
      </c>
      <c r="N24" s="13" t="s">
        <v>169</v>
      </c>
      <c r="O24" s="13" t="s">
        <v>169</v>
      </c>
      <c r="P24" s="13" t="s">
        <v>169</v>
      </c>
      <c r="Q24" s="13" t="s">
        <v>169</v>
      </c>
      <c r="R24" s="13" t="s">
        <v>169</v>
      </c>
      <c r="S24" s="13" t="s">
        <v>169</v>
      </c>
    </row>
    <row r="25" spans="1:19" ht="30" customHeight="1" x14ac:dyDescent="0.25">
      <c r="A25" s="33" t="s">
        <v>95</v>
      </c>
      <c r="B25" s="17" t="s">
        <v>96</v>
      </c>
      <c r="C25" s="4">
        <v>10</v>
      </c>
      <c r="D25" s="4" t="s">
        <v>181</v>
      </c>
      <c r="E25" s="4"/>
      <c r="F25" s="13" t="s">
        <v>304</v>
      </c>
      <c r="G25" s="13" t="s">
        <v>170</v>
      </c>
      <c r="H25" s="13" t="s">
        <v>169</v>
      </c>
      <c r="I25" s="13" t="s">
        <v>169</v>
      </c>
      <c r="J25" s="13" t="s">
        <v>169</v>
      </c>
      <c r="K25" s="13" t="s">
        <v>169</v>
      </c>
      <c r="L25" s="13" t="s">
        <v>169</v>
      </c>
      <c r="M25" s="13" t="s">
        <v>169</v>
      </c>
      <c r="N25" s="13" t="s">
        <v>169</v>
      </c>
      <c r="O25" s="13" t="s">
        <v>169</v>
      </c>
      <c r="P25" s="13" t="s">
        <v>169</v>
      </c>
      <c r="Q25" s="13" t="s">
        <v>169</v>
      </c>
      <c r="R25" s="13" t="s">
        <v>169</v>
      </c>
      <c r="S25" s="13" t="s">
        <v>169</v>
      </c>
    </row>
    <row r="26" spans="1:19" ht="30" customHeight="1" x14ac:dyDescent="0.25">
      <c r="A26" s="33" t="s">
        <v>97</v>
      </c>
      <c r="B26" s="17" t="s">
        <v>98</v>
      </c>
      <c r="C26" s="4">
        <v>10</v>
      </c>
      <c r="D26" s="4" t="s">
        <v>181</v>
      </c>
      <c r="E26" s="4"/>
      <c r="F26" s="13" t="s">
        <v>304</v>
      </c>
      <c r="G26" s="13" t="s">
        <v>170</v>
      </c>
      <c r="H26" s="13" t="s">
        <v>169</v>
      </c>
      <c r="I26" s="13" t="s">
        <v>169</v>
      </c>
      <c r="J26" s="13" t="s">
        <v>169</v>
      </c>
      <c r="K26" s="13" t="s">
        <v>169</v>
      </c>
      <c r="L26" s="13" t="s">
        <v>169</v>
      </c>
      <c r="M26" s="13" t="s">
        <v>169</v>
      </c>
      <c r="N26" s="13" t="s">
        <v>169</v>
      </c>
      <c r="O26" s="13" t="s">
        <v>169</v>
      </c>
      <c r="P26" s="13" t="s">
        <v>169</v>
      </c>
      <c r="Q26" s="13" t="s">
        <v>169</v>
      </c>
      <c r="R26" s="13" t="s">
        <v>169</v>
      </c>
      <c r="S26" s="13" t="s">
        <v>169</v>
      </c>
    </row>
    <row r="27" spans="1:19" ht="30" customHeight="1" x14ac:dyDescent="0.25">
      <c r="A27" s="33" t="s">
        <v>99</v>
      </c>
      <c r="B27" s="17" t="s">
        <v>100</v>
      </c>
      <c r="C27" s="4">
        <v>10</v>
      </c>
      <c r="D27" s="4" t="s">
        <v>181</v>
      </c>
      <c r="E27" s="4"/>
      <c r="F27" s="13" t="s">
        <v>304</v>
      </c>
      <c r="G27" s="13" t="s">
        <v>170</v>
      </c>
      <c r="H27" s="13" t="s">
        <v>169</v>
      </c>
      <c r="I27" s="13" t="s">
        <v>169</v>
      </c>
      <c r="J27" s="13" t="s">
        <v>169</v>
      </c>
      <c r="K27" s="13" t="s">
        <v>169</v>
      </c>
      <c r="L27" s="13" t="s">
        <v>169</v>
      </c>
      <c r="M27" s="13" t="s">
        <v>169</v>
      </c>
      <c r="N27" s="13" t="s">
        <v>169</v>
      </c>
      <c r="O27" s="13" t="s">
        <v>169</v>
      </c>
      <c r="P27" s="13" t="s">
        <v>169</v>
      </c>
      <c r="Q27" s="13" t="s">
        <v>169</v>
      </c>
      <c r="R27" s="13" t="s">
        <v>169</v>
      </c>
      <c r="S27" s="13" t="s">
        <v>169</v>
      </c>
    </row>
    <row r="28" spans="1:19" ht="30" customHeight="1" x14ac:dyDescent="0.25">
      <c r="A28" s="33" t="s">
        <v>101</v>
      </c>
      <c r="B28" s="17" t="s">
        <v>102</v>
      </c>
      <c r="C28" s="4">
        <v>10</v>
      </c>
      <c r="D28" s="4" t="s">
        <v>181</v>
      </c>
      <c r="E28" s="4"/>
      <c r="F28" s="13" t="s">
        <v>304</v>
      </c>
      <c r="G28" s="13" t="s">
        <v>170</v>
      </c>
      <c r="H28" s="13" t="s">
        <v>170</v>
      </c>
      <c r="I28" s="13" t="s">
        <v>170</v>
      </c>
      <c r="J28" s="13" t="s">
        <v>170</v>
      </c>
      <c r="K28" s="13" t="s">
        <v>169</v>
      </c>
      <c r="L28" s="13" t="s">
        <v>169</v>
      </c>
      <c r="M28" s="13" t="s">
        <v>169</v>
      </c>
      <c r="N28" s="13" t="s">
        <v>169</v>
      </c>
      <c r="O28" s="13" t="s">
        <v>169</v>
      </c>
      <c r="P28" s="13" t="s">
        <v>169</v>
      </c>
      <c r="Q28" s="13" t="s">
        <v>169</v>
      </c>
      <c r="R28" s="13" t="s">
        <v>169</v>
      </c>
      <c r="S28" s="13" t="s">
        <v>169</v>
      </c>
    </row>
    <row r="29" spans="1:19" ht="30" customHeight="1" x14ac:dyDescent="0.25">
      <c r="A29" s="33" t="s">
        <v>103</v>
      </c>
      <c r="B29" s="17" t="s">
        <v>104</v>
      </c>
      <c r="C29" s="4">
        <v>10</v>
      </c>
      <c r="D29" s="4" t="s">
        <v>181</v>
      </c>
      <c r="E29" s="4"/>
      <c r="F29" s="13" t="s">
        <v>301</v>
      </c>
      <c r="G29" s="13" t="s">
        <v>170</v>
      </c>
      <c r="H29" s="13" t="s">
        <v>170</v>
      </c>
      <c r="I29" s="13" t="s">
        <v>170</v>
      </c>
      <c r="J29" s="13" t="s">
        <v>170</v>
      </c>
      <c r="K29" s="13" t="s">
        <v>169</v>
      </c>
      <c r="L29" s="13" t="s">
        <v>169</v>
      </c>
      <c r="M29" s="13" t="s">
        <v>169</v>
      </c>
      <c r="N29" s="13" t="s">
        <v>169</v>
      </c>
      <c r="O29" s="13" t="s">
        <v>169</v>
      </c>
      <c r="P29" s="13" t="s">
        <v>169</v>
      </c>
      <c r="Q29" s="13" t="s">
        <v>169</v>
      </c>
      <c r="R29" s="13" t="s">
        <v>169</v>
      </c>
      <c r="S29" s="13" t="s">
        <v>169</v>
      </c>
    </row>
    <row r="30" spans="1:19" ht="30" customHeight="1" x14ac:dyDescent="0.25">
      <c r="A30" s="33" t="s">
        <v>105</v>
      </c>
      <c r="B30" s="17" t="s">
        <v>106</v>
      </c>
      <c r="C30" s="4">
        <v>10</v>
      </c>
      <c r="D30" s="4" t="s">
        <v>181</v>
      </c>
      <c r="E30" s="4"/>
      <c r="F30" s="13" t="s">
        <v>302</v>
      </c>
      <c r="G30" s="13" t="s">
        <v>170</v>
      </c>
      <c r="H30" s="13" t="s">
        <v>170</v>
      </c>
      <c r="I30" s="13" t="s">
        <v>169</v>
      </c>
      <c r="J30" s="13" t="s">
        <v>169</v>
      </c>
      <c r="K30" s="13" t="s">
        <v>169</v>
      </c>
      <c r="L30" s="13" t="s">
        <v>169</v>
      </c>
      <c r="M30" s="13" t="s">
        <v>169</v>
      </c>
      <c r="N30" s="13" t="s">
        <v>169</v>
      </c>
      <c r="O30" s="13" t="s">
        <v>169</v>
      </c>
      <c r="P30" s="13" t="s">
        <v>169</v>
      </c>
      <c r="Q30" s="13" t="s">
        <v>169</v>
      </c>
      <c r="R30" s="13" t="s">
        <v>169</v>
      </c>
      <c r="S30" s="13" t="s">
        <v>169</v>
      </c>
    </row>
    <row r="31" spans="1:19" ht="30" customHeight="1" x14ac:dyDescent="0.25">
      <c r="A31" s="49" t="s">
        <v>250</v>
      </c>
      <c r="B31" s="53" t="s">
        <v>251</v>
      </c>
      <c r="C31" s="4">
        <v>5</v>
      </c>
      <c r="D31" s="4" t="s">
        <v>176</v>
      </c>
      <c r="E31" s="4"/>
      <c r="F31" s="13" t="s">
        <v>303</v>
      </c>
      <c r="G31" s="13" t="s">
        <v>170</v>
      </c>
      <c r="H31" s="13" t="s">
        <v>170</v>
      </c>
      <c r="I31" s="13" t="s">
        <v>169</v>
      </c>
      <c r="J31" s="13" t="s">
        <v>169</v>
      </c>
      <c r="K31" s="13" t="s">
        <v>169</v>
      </c>
      <c r="L31" s="13" t="s">
        <v>169</v>
      </c>
      <c r="M31" s="13" t="s">
        <v>169</v>
      </c>
      <c r="N31" s="13" t="s">
        <v>169</v>
      </c>
      <c r="O31" s="13" t="s">
        <v>169</v>
      </c>
      <c r="P31" s="13" t="s">
        <v>169</v>
      </c>
      <c r="Q31" s="13" t="s">
        <v>169</v>
      </c>
      <c r="R31" s="13" t="s">
        <v>169</v>
      </c>
      <c r="S31" s="13" t="s">
        <v>169</v>
      </c>
    </row>
    <row r="32" spans="1:19" ht="30" customHeight="1" x14ac:dyDescent="0.25">
      <c r="A32" s="33" t="s">
        <v>107</v>
      </c>
      <c r="B32" s="17" t="s">
        <v>108</v>
      </c>
      <c r="C32" s="4">
        <v>10</v>
      </c>
      <c r="D32" s="4" t="s">
        <v>181</v>
      </c>
      <c r="E32" s="4"/>
      <c r="F32" s="13" t="s">
        <v>304</v>
      </c>
      <c r="G32" s="13" t="s">
        <v>170</v>
      </c>
      <c r="H32" s="13" t="s">
        <v>170</v>
      </c>
      <c r="I32" s="13" t="s">
        <v>169</v>
      </c>
      <c r="J32" s="13" t="s">
        <v>169</v>
      </c>
      <c r="K32" s="13" t="s">
        <v>169</v>
      </c>
      <c r="L32" s="13" t="s">
        <v>169</v>
      </c>
      <c r="M32" s="13" t="s">
        <v>169</v>
      </c>
      <c r="N32" s="13" t="s">
        <v>169</v>
      </c>
      <c r="O32" s="13" t="s">
        <v>169</v>
      </c>
      <c r="P32" s="13" t="s">
        <v>169</v>
      </c>
      <c r="Q32" s="13" t="s">
        <v>169</v>
      </c>
      <c r="R32" s="13" t="s">
        <v>169</v>
      </c>
      <c r="S32" s="13" t="s">
        <v>169</v>
      </c>
    </row>
    <row r="33" spans="1:19" ht="30" customHeight="1" x14ac:dyDescent="0.25">
      <c r="A33" s="33" t="s">
        <v>109</v>
      </c>
      <c r="B33" s="12" t="s">
        <v>110</v>
      </c>
      <c r="C33" s="4">
        <v>6</v>
      </c>
      <c r="D33" s="4" t="s">
        <v>177</v>
      </c>
      <c r="E33" s="4"/>
      <c r="F33" s="13" t="s">
        <v>305</v>
      </c>
      <c r="G33" s="13" t="s">
        <v>170</v>
      </c>
      <c r="H33" s="13" t="s">
        <v>170</v>
      </c>
      <c r="I33" s="13" t="s">
        <v>169</v>
      </c>
      <c r="J33" s="13" t="s">
        <v>169</v>
      </c>
      <c r="K33" s="13" t="s">
        <v>169</v>
      </c>
      <c r="L33" s="13" t="s">
        <v>169</v>
      </c>
      <c r="M33" s="13" t="s">
        <v>169</v>
      </c>
      <c r="N33" s="13" t="s">
        <v>169</v>
      </c>
      <c r="O33" s="13" t="s">
        <v>169</v>
      </c>
      <c r="P33" s="13" t="s">
        <v>169</v>
      </c>
      <c r="Q33" s="13" t="s">
        <v>169</v>
      </c>
      <c r="R33" s="13" t="s">
        <v>169</v>
      </c>
      <c r="S33" s="13" t="s">
        <v>169</v>
      </c>
    </row>
    <row r="34" spans="1:19" ht="30" customHeight="1" x14ac:dyDescent="0.25">
      <c r="A34" s="33" t="s">
        <v>111</v>
      </c>
      <c r="B34" s="17" t="s">
        <v>112</v>
      </c>
      <c r="C34" s="4">
        <v>10</v>
      </c>
      <c r="D34" s="4" t="s">
        <v>181</v>
      </c>
      <c r="E34" s="4"/>
      <c r="F34" s="13" t="s">
        <v>304</v>
      </c>
      <c r="G34" s="13" t="s">
        <v>170</v>
      </c>
      <c r="H34" s="13" t="s">
        <v>169</v>
      </c>
      <c r="I34" s="13" t="s">
        <v>170</v>
      </c>
      <c r="J34" s="13" t="s">
        <v>169</v>
      </c>
      <c r="K34" s="13" t="s">
        <v>169</v>
      </c>
      <c r="L34" s="13" t="s">
        <v>169</v>
      </c>
      <c r="M34" s="13" t="s">
        <v>169</v>
      </c>
      <c r="N34" s="13" t="s">
        <v>169</v>
      </c>
      <c r="O34" s="13" t="s">
        <v>169</v>
      </c>
      <c r="P34" s="13" t="s">
        <v>169</v>
      </c>
      <c r="Q34" s="13" t="s">
        <v>169</v>
      </c>
      <c r="R34" s="13" t="s">
        <v>169</v>
      </c>
      <c r="S34" s="13" t="s">
        <v>169</v>
      </c>
    </row>
    <row r="35" spans="1:19" ht="30" customHeight="1" x14ac:dyDescent="0.25">
      <c r="A35" s="33" t="s">
        <v>113</v>
      </c>
      <c r="B35" s="17" t="s">
        <v>114</v>
      </c>
      <c r="C35" s="4">
        <v>10</v>
      </c>
      <c r="D35" s="4" t="s">
        <v>181</v>
      </c>
      <c r="E35" s="4"/>
      <c r="F35" s="13" t="s">
        <v>304</v>
      </c>
      <c r="G35" s="13" t="s">
        <v>170</v>
      </c>
      <c r="H35" s="13" t="s">
        <v>169</v>
      </c>
      <c r="I35" s="13" t="s">
        <v>170</v>
      </c>
      <c r="J35" s="13" t="s">
        <v>169</v>
      </c>
      <c r="K35" s="13" t="s">
        <v>169</v>
      </c>
      <c r="L35" s="13" t="s">
        <v>169</v>
      </c>
      <c r="M35" s="13" t="s">
        <v>169</v>
      </c>
      <c r="N35" s="13" t="s">
        <v>169</v>
      </c>
      <c r="O35" s="13" t="s">
        <v>169</v>
      </c>
      <c r="P35" s="13" t="s">
        <v>169</v>
      </c>
      <c r="Q35" s="13" t="s">
        <v>169</v>
      </c>
      <c r="R35" s="13" t="s">
        <v>169</v>
      </c>
      <c r="S35" s="13" t="s">
        <v>169</v>
      </c>
    </row>
    <row r="36" spans="1:19" ht="30" customHeight="1" x14ac:dyDescent="0.25">
      <c r="A36" s="33" t="s">
        <v>115</v>
      </c>
      <c r="B36" s="17" t="s">
        <v>116</v>
      </c>
      <c r="C36" s="4">
        <v>10</v>
      </c>
      <c r="D36" s="4" t="s">
        <v>181</v>
      </c>
      <c r="E36" s="4"/>
      <c r="F36" s="13" t="s">
        <v>304</v>
      </c>
      <c r="G36" s="13" t="s">
        <v>170</v>
      </c>
      <c r="H36" s="13" t="s">
        <v>169</v>
      </c>
      <c r="I36" s="13" t="s">
        <v>170</v>
      </c>
      <c r="J36" s="13" t="s">
        <v>169</v>
      </c>
      <c r="K36" s="13" t="s">
        <v>169</v>
      </c>
      <c r="L36" s="13" t="s">
        <v>169</v>
      </c>
      <c r="M36" s="13" t="s">
        <v>169</v>
      </c>
      <c r="N36" s="13" t="s">
        <v>169</v>
      </c>
      <c r="O36" s="13" t="s">
        <v>169</v>
      </c>
      <c r="P36" s="13" t="s">
        <v>169</v>
      </c>
      <c r="Q36" s="13" t="s">
        <v>169</v>
      </c>
      <c r="R36" s="13" t="s">
        <v>169</v>
      </c>
      <c r="S36" s="13" t="s">
        <v>169</v>
      </c>
    </row>
    <row r="37" spans="1:19" ht="30" customHeight="1" x14ac:dyDescent="0.25">
      <c r="A37" s="33" t="s">
        <v>117</v>
      </c>
      <c r="B37" s="17" t="s">
        <v>118</v>
      </c>
      <c r="C37" s="4">
        <v>10</v>
      </c>
      <c r="D37" s="4" t="s">
        <v>181</v>
      </c>
      <c r="E37" s="4"/>
      <c r="F37" s="13" t="s">
        <v>304</v>
      </c>
      <c r="G37" s="13" t="s">
        <v>170</v>
      </c>
      <c r="H37" s="13" t="s">
        <v>169</v>
      </c>
      <c r="I37" s="13" t="s">
        <v>170</v>
      </c>
      <c r="J37" s="13" t="s">
        <v>169</v>
      </c>
      <c r="K37" s="13" t="s">
        <v>169</v>
      </c>
      <c r="L37" s="13" t="s">
        <v>169</v>
      </c>
      <c r="M37" s="13" t="s">
        <v>169</v>
      </c>
      <c r="N37" s="13" t="s">
        <v>169</v>
      </c>
      <c r="O37" s="13" t="s">
        <v>169</v>
      </c>
      <c r="P37" s="13" t="s">
        <v>169</v>
      </c>
      <c r="Q37" s="13" t="s">
        <v>169</v>
      </c>
      <c r="R37" s="13" t="s">
        <v>169</v>
      </c>
      <c r="S37" s="13" t="s">
        <v>169</v>
      </c>
    </row>
    <row r="38" spans="1:19" ht="30" customHeight="1" x14ac:dyDescent="0.25">
      <c r="A38" s="33" t="s">
        <v>119</v>
      </c>
      <c r="B38" s="17" t="s">
        <v>120</v>
      </c>
      <c r="C38" s="4">
        <v>10</v>
      </c>
      <c r="D38" s="4" t="s">
        <v>181</v>
      </c>
      <c r="E38" s="4"/>
      <c r="F38" s="13" t="s">
        <v>304</v>
      </c>
      <c r="G38" s="13" t="s">
        <v>170</v>
      </c>
      <c r="H38" s="13" t="s">
        <v>169</v>
      </c>
      <c r="I38" s="13" t="s">
        <v>170</v>
      </c>
      <c r="J38" s="13" t="s">
        <v>169</v>
      </c>
      <c r="K38" s="13" t="s">
        <v>169</v>
      </c>
      <c r="L38" s="13" t="s">
        <v>169</v>
      </c>
      <c r="M38" s="13" t="s">
        <v>169</v>
      </c>
      <c r="N38" s="13" t="s">
        <v>169</v>
      </c>
      <c r="O38" s="13" t="s">
        <v>169</v>
      </c>
      <c r="P38" s="13" t="s">
        <v>169</v>
      </c>
      <c r="Q38" s="13" t="s">
        <v>169</v>
      </c>
      <c r="R38" s="13" t="s">
        <v>169</v>
      </c>
      <c r="S38" s="13" t="s">
        <v>169</v>
      </c>
    </row>
    <row r="39" spans="1:19" ht="30" customHeight="1" x14ac:dyDescent="0.25">
      <c r="A39" s="33" t="s">
        <v>121</v>
      </c>
      <c r="B39" s="17" t="s">
        <v>307</v>
      </c>
      <c r="C39" s="4">
        <v>10</v>
      </c>
      <c r="D39" s="4" t="s">
        <v>181</v>
      </c>
      <c r="E39" s="4"/>
      <c r="F39" s="13" t="s">
        <v>304</v>
      </c>
      <c r="G39" s="13" t="s">
        <v>170</v>
      </c>
      <c r="H39" s="13" t="s">
        <v>169</v>
      </c>
      <c r="I39" s="13" t="s">
        <v>170</v>
      </c>
      <c r="J39" s="13" t="s">
        <v>169</v>
      </c>
      <c r="K39" s="13" t="s">
        <v>169</v>
      </c>
      <c r="L39" s="13" t="s">
        <v>169</v>
      </c>
      <c r="M39" s="13" t="s">
        <v>169</v>
      </c>
      <c r="N39" s="13" t="s">
        <v>169</v>
      </c>
      <c r="O39" s="13" t="s">
        <v>169</v>
      </c>
      <c r="P39" s="13" t="s">
        <v>169</v>
      </c>
      <c r="Q39" s="13" t="s">
        <v>169</v>
      </c>
      <c r="R39" s="13" t="s">
        <v>169</v>
      </c>
      <c r="S39" s="13" t="s">
        <v>169</v>
      </c>
    </row>
    <row r="40" spans="1:19" ht="30" customHeight="1" x14ac:dyDescent="0.25">
      <c r="A40" s="33" t="s">
        <v>122</v>
      </c>
      <c r="B40" s="17" t="s">
        <v>123</v>
      </c>
      <c r="C40" s="4">
        <v>5</v>
      </c>
      <c r="D40" s="4" t="s">
        <v>176</v>
      </c>
      <c r="E40" s="4"/>
      <c r="F40" s="13" t="s">
        <v>169</v>
      </c>
      <c r="G40" s="13" t="s">
        <v>169</v>
      </c>
      <c r="H40" s="13" t="s">
        <v>169</v>
      </c>
      <c r="I40" s="13" t="s">
        <v>170</v>
      </c>
      <c r="J40" s="13" t="s">
        <v>169</v>
      </c>
      <c r="K40" s="13" t="s">
        <v>169</v>
      </c>
      <c r="L40" s="13" t="s">
        <v>169</v>
      </c>
      <c r="M40" s="13" t="s">
        <v>169</v>
      </c>
      <c r="N40" s="13" t="s">
        <v>169</v>
      </c>
      <c r="O40" s="13" t="s">
        <v>169</v>
      </c>
      <c r="P40" s="13" t="s">
        <v>169</v>
      </c>
      <c r="Q40" s="13" t="s">
        <v>169</v>
      </c>
      <c r="R40" s="13" t="s">
        <v>169</v>
      </c>
      <c r="S40" s="13" t="s">
        <v>169</v>
      </c>
    </row>
    <row r="41" spans="1:19" ht="30" customHeight="1" x14ac:dyDescent="0.25">
      <c r="A41" s="30" t="s">
        <v>124</v>
      </c>
      <c r="B41" s="15" t="s">
        <v>238</v>
      </c>
      <c r="C41" s="4">
        <v>7</v>
      </c>
      <c r="D41" s="4" t="s">
        <v>178</v>
      </c>
      <c r="E41" s="4"/>
      <c r="F41" s="13" t="s">
        <v>270</v>
      </c>
      <c r="G41" s="13" t="s">
        <v>170</v>
      </c>
      <c r="H41" s="13" t="s">
        <v>169</v>
      </c>
      <c r="I41" s="13" t="s">
        <v>169</v>
      </c>
      <c r="J41" s="13" t="s">
        <v>169</v>
      </c>
      <c r="K41" s="13" t="s">
        <v>169</v>
      </c>
      <c r="L41" s="13" t="s">
        <v>169</v>
      </c>
      <c r="M41" s="13" t="s">
        <v>169</v>
      </c>
      <c r="N41" s="13" t="s">
        <v>169</v>
      </c>
      <c r="O41" s="13" t="s">
        <v>169</v>
      </c>
      <c r="P41" s="13" t="s">
        <v>169</v>
      </c>
      <c r="Q41" s="13" t="s">
        <v>169</v>
      </c>
      <c r="R41" s="13" t="s">
        <v>169</v>
      </c>
      <c r="S41" s="13" t="s">
        <v>169</v>
      </c>
    </row>
    <row r="42" spans="1:19" ht="30" customHeight="1" x14ac:dyDescent="0.25">
      <c r="A42" s="30" t="s">
        <v>125</v>
      </c>
      <c r="B42" s="15" t="s">
        <v>239</v>
      </c>
      <c r="C42" s="4">
        <v>7</v>
      </c>
      <c r="D42" s="4" t="s">
        <v>178</v>
      </c>
      <c r="E42" s="4"/>
      <c r="F42" s="13" t="s">
        <v>126</v>
      </c>
      <c r="G42" s="13" t="s">
        <v>170</v>
      </c>
      <c r="H42" s="13" t="s">
        <v>169</v>
      </c>
      <c r="I42" s="13" t="s">
        <v>169</v>
      </c>
      <c r="J42" s="13" t="s">
        <v>169</v>
      </c>
      <c r="K42" s="13" t="s">
        <v>169</v>
      </c>
      <c r="L42" s="13" t="s">
        <v>169</v>
      </c>
      <c r="M42" s="13" t="s">
        <v>169</v>
      </c>
      <c r="N42" s="13" t="s">
        <v>169</v>
      </c>
      <c r="O42" s="13" t="s">
        <v>169</v>
      </c>
      <c r="P42" s="13" t="s">
        <v>169</v>
      </c>
      <c r="Q42" s="13" t="s">
        <v>169</v>
      </c>
      <c r="R42" s="13" t="s">
        <v>169</v>
      </c>
      <c r="S42" s="13" t="s">
        <v>169</v>
      </c>
    </row>
    <row r="43" spans="1:19" ht="30" customHeight="1" x14ac:dyDescent="0.25">
      <c r="A43" s="30" t="s">
        <v>147</v>
      </c>
      <c r="B43" s="31" t="s">
        <v>134</v>
      </c>
      <c r="C43" s="4">
        <v>10</v>
      </c>
      <c r="D43" s="4" t="s">
        <v>181</v>
      </c>
      <c r="E43" s="4"/>
      <c r="F43" s="13" t="s">
        <v>298</v>
      </c>
      <c r="G43" s="13" t="s">
        <v>169</v>
      </c>
      <c r="H43" s="13" t="s">
        <v>169</v>
      </c>
      <c r="I43" s="13" t="s">
        <v>169</v>
      </c>
      <c r="J43" s="13" t="s">
        <v>169</v>
      </c>
      <c r="K43" s="13" t="s">
        <v>169</v>
      </c>
      <c r="L43" s="11" t="s">
        <v>170</v>
      </c>
      <c r="M43" s="13" t="s">
        <v>169</v>
      </c>
      <c r="N43" s="13" t="s">
        <v>169</v>
      </c>
      <c r="O43" s="13" t="s">
        <v>169</v>
      </c>
      <c r="P43" s="11" t="s">
        <v>170</v>
      </c>
      <c r="Q43" s="13" t="s">
        <v>169</v>
      </c>
      <c r="R43" s="13" t="s">
        <v>169</v>
      </c>
      <c r="S43" s="13" t="s">
        <v>169</v>
      </c>
    </row>
    <row r="44" spans="1:19" ht="30" customHeight="1" x14ac:dyDescent="0.25">
      <c r="A44" s="30" t="s">
        <v>148</v>
      </c>
      <c r="B44" s="31" t="s">
        <v>136</v>
      </c>
      <c r="C44" s="4">
        <v>10</v>
      </c>
      <c r="D44" s="4" t="s">
        <v>181</v>
      </c>
      <c r="E44" s="4"/>
      <c r="F44" s="13" t="s">
        <v>298</v>
      </c>
      <c r="G44" s="13" t="s">
        <v>169</v>
      </c>
      <c r="H44" s="13" t="s">
        <v>169</v>
      </c>
      <c r="I44" s="13" t="s">
        <v>169</v>
      </c>
      <c r="J44" s="13" t="s">
        <v>169</v>
      </c>
      <c r="K44" s="13" t="s">
        <v>169</v>
      </c>
      <c r="L44" s="11" t="s">
        <v>170</v>
      </c>
      <c r="M44" s="13" t="s">
        <v>169</v>
      </c>
      <c r="N44" s="13" t="s">
        <v>169</v>
      </c>
      <c r="O44" s="13" t="s">
        <v>169</v>
      </c>
      <c r="P44" s="11" t="s">
        <v>170</v>
      </c>
      <c r="Q44" s="13" t="s">
        <v>169</v>
      </c>
      <c r="R44" s="13" t="s">
        <v>169</v>
      </c>
      <c r="S44" s="13" t="s">
        <v>169</v>
      </c>
    </row>
    <row r="45" spans="1:19" ht="30" customHeight="1" x14ac:dyDescent="0.25">
      <c r="A45" s="30" t="s">
        <v>149</v>
      </c>
      <c r="B45" s="31" t="s">
        <v>138</v>
      </c>
      <c r="C45" s="4">
        <v>10</v>
      </c>
      <c r="D45" s="4" t="s">
        <v>181</v>
      </c>
      <c r="E45" s="4"/>
      <c r="F45" s="13" t="s">
        <v>304</v>
      </c>
      <c r="G45" s="13" t="s">
        <v>169</v>
      </c>
      <c r="H45" s="13" t="s">
        <v>169</v>
      </c>
      <c r="I45" s="13" t="s">
        <v>169</v>
      </c>
      <c r="J45" s="13" t="s">
        <v>169</v>
      </c>
      <c r="K45" s="13" t="s">
        <v>169</v>
      </c>
      <c r="L45" s="11" t="s">
        <v>170</v>
      </c>
      <c r="M45" s="13" t="s">
        <v>169</v>
      </c>
      <c r="N45" s="13" t="s">
        <v>169</v>
      </c>
      <c r="O45" s="13" t="s">
        <v>169</v>
      </c>
      <c r="P45" s="11" t="s">
        <v>170</v>
      </c>
      <c r="Q45" s="13" t="s">
        <v>169</v>
      </c>
      <c r="R45" s="13" t="s">
        <v>169</v>
      </c>
      <c r="S45" s="13" t="s">
        <v>169</v>
      </c>
    </row>
    <row r="46" spans="1:19" ht="30" customHeight="1" x14ac:dyDescent="0.25">
      <c r="A46" s="30" t="s">
        <v>150</v>
      </c>
      <c r="B46" s="31" t="s">
        <v>151</v>
      </c>
      <c r="C46" s="4">
        <v>10</v>
      </c>
      <c r="D46" s="4" t="s">
        <v>181</v>
      </c>
      <c r="E46" s="4"/>
      <c r="F46" s="13" t="s">
        <v>313</v>
      </c>
      <c r="G46" s="13" t="s">
        <v>169</v>
      </c>
      <c r="H46" s="13" t="s">
        <v>169</v>
      </c>
      <c r="I46" s="13" t="s">
        <v>169</v>
      </c>
      <c r="J46" s="13" t="s">
        <v>169</v>
      </c>
      <c r="K46" s="13" t="s">
        <v>169</v>
      </c>
      <c r="L46" s="11" t="s">
        <v>170</v>
      </c>
      <c r="M46" s="13" t="s">
        <v>169</v>
      </c>
      <c r="N46" s="13" t="s">
        <v>169</v>
      </c>
      <c r="O46" s="13" t="s">
        <v>169</v>
      </c>
      <c r="P46" s="11" t="s">
        <v>170</v>
      </c>
      <c r="Q46" s="13" t="s">
        <v>169</v>
      </c>
      <c r="R46" s="13" t="s">
        <v>169</v>
      </c>
      <c r="S46" s="13" t="s">
        <v>169</v>
      </c>
    </row>
    <row r="47" spans="1:19" ht="30" customHeight="1" x14ac:dyDescent="0.25">
      <c r="A47" s="33" t="s">
        <v>127</v>
      </c>
      <c r="B47" s="13" t="s">
        <v>128</v>
      </c>
      <c r="C47" s="4">
        <v>10</v>
      </c>
      <c r="D47" s="4" t="s">
        <v>181</v>
      </c>
      <c r="E47" s="4"/>
      <c r="F47" s="13" t="s">
        <v>302</v>
      </c>
      <c r="G47" s="13" t="s">
        <v>170</v>
      </c>
      <c r="H47" s="11" t="s">
        <v>169</v>
      </c>
      <c r="I47" s="11" t="s">
        <v>169</v>
      </c>
      <c r="J47" s="11" t="s">
        <v>169</v>
      </c>
      <c r="K47" s="11" t="s">
        <v>169</v>
      </c>
      <c r="L47" s="11" t="s">
        <v>170</v>
      </c>
      <c r="M47" s="11" t="s">
        <v>169</v>
      </c>
      <c r="N47" s="11" t="s">
        <v>169</v>
      </c>
      <c r="O47" s="11" t="s">
        <v>169</v>
      </c>
      <c r="P47" s="11" t="s">
        <v>169</v>
      </c>
      <c r="Q47" s="11" t="s">
        <v>169</v>
      </c>
      <c r="R47" s="11" t="s">
        <v>169</v>
      </c>
      <c r="S47" s="11" t="s">
        <v>169</v>
      </c>
    </row>
    <row r="48" spans="1:19" ht="30" customHeight="1" x14ac:dyDescent="0.25">
      <c r="A48" s="30" t="s">
        <v>129</v>
      </c>
      <c r="B48" s="17" t="s">
        <v>130</v>
      </c>
      <c r="C48" s="4">
        <v>10</v>
      </c>
      <c r="D48" s="4" t="s">
        <v>181</v>
      </c>
      <c r="E48" s="4"/>
      <c r="F48" s="13" t="s">
        <v>302</v>
      </c>
      <c r="G48" s="18" t="s">
        <v>169</v>
      </c>
      <c r="H48" s="18" t="s">
        <v>169</v>
      </c>
      <c r="I48" s="18" t="s">
        <v>169</v>
      </c>
      <c r="J48" s="18" t="s">
        <v>169</v>
      </c>
      <c r="K48" s="18" t="s">
        <v>169</v>
      </c>
      <c r="L48" s="18" t="s">
        <v>169</v>
      </c>
      <c r="M48" s="18" t="s">
        <v>169</v>
      </c>
      <c r="N48" s="18" t="s">
        <v>169</v>
      </c>
      <c r="O48" s="18" t="s">
        <v>169</v>
      </c>
      <c r="P48" s="11" t="s">
        <v>170</v>
      </c>
      <c r="Q48" s="18" t="s">
        <v>169</v>
      </c>
      <c r="R48" s="18" t="s">
        <v>169</v>
      </c>
      <c r="S48" s="18" t="s">
        <v>169</v>
      </c>
    </row>
    <row r="49" spans="1:19" ht="30" customHeight="1" x14ac:dyDescent="0.25">
      <c r="A49" s="33" t="s">
        <v>133</v>
      </c>
      <c r="B49" s="12" t="s">
        <v>134</v>
      </c>
      <c r="C49" s="4">
        <v>10</v>
      </c>
      <c r="D49" s="4" t="s">
        <v>181</v>
      </c>
      <c r="E49" s="7"/>
      <c r="F49" s="13" t="s">
        <v>298</v>
      </c>
      <c r="G49" s="18" t="s">
        <v>169</v>
      </c>
      <c r="H49" s="18" t="s">
        <v>169</v>
      </c>
      <c r="I49" s="18" t="s">
        <v>169</v>
      </c>
      <c r="J49" s="18" t="s">
        <v>169</v>
      </c>
      <c r="K49" s="18" t="s">
        <v>169</v>
      </c>
      <c r="L49" s="18" t="s">
        <v>169</v>
      </c>
      <c r="M49" s="18" t="s">
        <v>169</v>
      </c>
      <c r="N49" s="18" t="s">
        <v>169</v>
      </c>
      <c r="O49" s="18" t="s">
        <v>169</v>
      </c>
      <c r="P49" s="11" t="s">
        <v>170</v>
      </c>
      <c r="Q49" s="18" t="s">
        <v>169</v>
      </c>
      <c r="R49" s="18" t="s">
        <v>169</v>
      </c>
      <c r="S49" s="18" t="s">
        <v>169</v>
      </c>
    </row>
    <row r="50" spans="1:19" ht="30" customHeight="1" x14ac:dyDescent="0.25">
      <c r="A50" s="34" t="s">
        <v>135</v>
      </c>
      <c r="B50" s="17" t="s">
        <v>136</v>
      </c>
      <c r="C50" s="4">
        <v>10</v>
      </c>
      <c r="D50" s="4" t="s">
        <v>181</v>
      </c>
      <c r="E50" s="7"/>
      <c r="F50" s="13" t="s">
        <v>298</v>
      </c>
      <c r="G50" s="18" t="s">
        <v>169</v>
      </c>
      <c r="H50" s="18" t="s">
        <v>169</v>
      </c>
      <c r="I50" s="18" t="s">
        <v>169</v>
      </c>
      <c r="J50" s="18" t="s">
        <v>169</v>
      </c>
      <c r="K50" s="18" t="s">
        <v>169</v>
      </c>
      <c r="L50" s="18" t="s">
        <v>169</v>
      </c>
      <c r="M50" s="18" t="s">
        <v>169</v>
      </c>
      <c r="N50" s="18" t="s">
        <v>169</v>
      </c>
      <c r="O50" s="18" t="s">
        <v>169</v>
      </c>
      <c r="P50" s="11" t="s">
        <v>170</v>
      </c>
      <c r="Q50" s="18" t="s">
        <v>169</v>
      </c>
      <c r="R50" s="18" t="s">
        <v>169</v>
      </c>
      <c r="S50" s="18" t="s">
        <v>169</v>
      </c>
    </row>
    <row r="51" spans="1:19" ht="30" customHeight="1" x14ac:dyDescent="0.25">
      <c r="A51" s="34" t="s">
        <v>137</v>
      </c>
      <c r="B51" s="17" t="s">
        <v>138</v>
      </c>
      <c r="C51" s="4">
        <v>10</v>
      </c>
      <c r="D51" s="4" t="s">
        <v>181</v>
      </c>
      <c r="E51" s="7"/>
      <c r="F51" s="13" t="s">
        <v>304</v>
      </c>
      <c r="G51" s="18" t="s">
        <v>169</v>
      </c>
      <c r="H51" s="18" t="s">
        <v>169</v>
      </c>
      <c r="I51" s="18" t="s">
        <v>169</v>
      </c>
      <c r="J51" s="18" t="s">
        <v>169</v>
      </c>
      <c r="K51" s="18" t="s">
        <v>169</v>
      </c>
      <c r="L51" s="18" t="s">
        <v>169</v>
      </c>
      <c r="M51" s="18" t="s">
        <v>169</v>
      </c>
      <c r="N51" s="18" t="s">
        <v>169</v>
      </c>
      <c r="O51" s="18" t="s">
        <v>169</v>
      </c>
      <c r="P51" s="11" t="s">
        <v>170</v>
      </c>
      <c r="Q51" s="18" t="s">
        <v>169</v>
      </c>
      <c r="R51" s="18" t="s">
        <v>169</v>
      </c>
      <c r="S51" s="18" t="s">
        <v>169</v>
      </c>
    </row>
    <row r="52" spans="1:19" ht="30" customHeight="1" x14ac:dyDescent="0.25">
      <c r="A52" s="34" t="s">
        <v>152</v>
      </c>
      <c r="B52" s="17" t="s">
        <v>151</v>
      </c>
      <c r="C52" s="4">
        <v>10</v>
      </c>
      <c r="D52" s="4" t="s">
        <v>181</v>
      </c>
      <c r="E52" s="7"/>
      <c r="F52" s="13" t="s">
        <v>313</v>
      </c>
      <c r="G52" s="18" t="s">
        <v>169</v>
      </c>
      <c r="H52" s="18" t="s">
        <v>169</v>
      </c>
      <c r="I52" s="18" t="s">
        <v>169</v>
      </c>
      <c r="J52" s="18" t="s">
        <v>169</v>
      </c>
      <c r="K52" s="18" t="s">
        <v>169</v>
      </c>
      <c r="L52" s="18" t="s">
        <v>169</v>
      </c>
      <c r="M52" s="18" t="s">
        <v>169</v>
      </c>
      <c r="N52" s="18" t="s">
        <v>169</v>
      </c>
      <c r="O52" s="18" t="s">
        <v>169</v>
      </c>
      <c r="P52" s="11" t="s">
        <v>170</v>
      </c>
      <c r="Q52" s="18" t="s">
        <v>169</v>
      </c>
      <c r="R52" s="18" t="s">
        <v>169</v>
      </c>
      <c r="S52" s="18" t="s">
        <v>169</v>
      </c>
    </row>
    <row r="53" spans="1:19" ht="30" customHeight="1" x14ac:dyDescent="0.25">
      <c r="A53" s="81" t="s">
        <v>271</v>
      </c>
      <c r="B53" s="54" t="s">
        <v>272</v>
      </c>
      <c r="C53" s="41">
        <v>10</v>
      </c>
      <c r="D53" s="4" t="s">
        <v>181</v>
      </c>
      <c r="E53" s="41"/>
      <c r="F53" s="13" t="s">
        <v>169</v>
      </c>
      <c r="G53" s="43"/>
      <c r="H53" s="43"/>
      <c r="I53" s="43"/>
      <c r="J53" s="43"/>
      <c r="K53" s="43"/>
      <c r="L53" s="11" t="s">
        <v>170</v>
      </c>
      <c r="M53" s="43"/>
      <c r="N53" s="43"/>
      <c r="O53" s="43"/>
      <c r="P53" s="11" t="s">
        <v>170</v>
      </c>
      <c r="Q53" s="43"/>
      <c r="R53" s="43"/>
      <c r="S53" s="43"/>
    </row>
  </sheetData>
  <hyperlinks>
    <hyperlink ref="B2" r:id="rId1" display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xr:uid="{2497360C-DD0E-4688-94AF-CE78FA677366}"/>
    <hyperlink ref="B13" r:id="rId2" display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xr:uid="{D8F6B298-BC77-40BF-9AF3-5472F500DD72}"/>
    <hyperlink ref="B11" r:id="rId3" display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xr:uid="{82BA573D-981F-4124-B790-9E6A6E0AC30B}"/>
    <hyperlink ref="B33" r:id="rId4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04B0094C-F632-4BDF-B90B-74FE02ABA36F}"/>
    <hyperlink ref="B14" r:id="rId5" xr:uid="{9B8642C7-542B-4608-A6BA-828A5D479E3B}"/>
    <hyperlink ref="B16" r:id="rId6" xr:uid="{AA06B4E1-5B89-4954-B480-3BA7D04E5F57}"/>
    <hyperlink ref="B17" r:id="rId7" xr:uid="{1553BCDE-3623-4441-A95F-CE22BD118BE7}"/>
    <hyperlink ref="B18" r:id="rId8" xr:uid="{1F436F5F-5073-4FB8-9D13-3CAEFD54EECE}"/>
    <hyperlink ref="B19" r:id="rId9" xr:uid="{E34A53DE-D366-4226-85D8-ED48A2DCBDBE}"/>
    <hyperlink ref="B20" r:id="rId10" xr:uid="{38053727-1543-4DDA-899B-894BBAF49BF7}"/>
    <hyperlink ref="B29" r:id="rId11" xr:uid="{C712BA84-51DC-47E5-A4F2-63C19F018A07}"/>
    <hyperlink ref="B28" r:id="rId12" xr:uid="{00E76898-9D2E-40B8-B6ED-9A951990CD2C}"/>
    <hyperlink ref="B27" r:id="rId13" xr:uid="{8F021674-5E83-49B7-BE5B-C00A65B94DC8}"/>
    <hyperlink ref="B26" r:id="rId14" xr:uid="{7B9F7C68-62FB-475A-AF2D-B3FAA7C4CD2F}"/>
    <hyperlink ref="B25" r:id="rId15" xr:uid="{BD9DD663-0B7D-4C57-BBA0-E3659EDC2F1E}"/>
    <hyperlink ref="B24" r:id="rId16" xr:uid="{5901E72F-3D5F-49F5-B5F6-323DB07D1B06}"/>
    <hyperlink ref="B23" r:id="rId17" xr:uid="{0592AC50-8E90-4840-A1DA-4392258916CD}"/>
    <hyperlink ref="B30" r:id="rId18" xr:uid="{2C7082FE-67FD-4B49-BABF-E806F8FAC9C5}"/>
    <hyperlink ref="B32" r:id="rId19" xr:uid="{3951831E-D0E9-4792-B14B-7D2C46C77ABD}"/>
    <hyperlink ref="B34" r:id="rId20" xr:uid="{8BA2BAC7-3012-4F56-8086-15FCD1DE1C2E}"/>
    <hyperlink ref="B35" r:id="rId21" xr:uid="{B32A10C8-9843-420C-A199-65AB13FFA45F}"/>
    <hyperlink ref="B15" r:id="rId22" xr:uid="{542DB1B9-12D5-40DF-BF20-B5EBE4B74147}"/>
    <hyperlink ref="B40" r:id="rId23" xr:uid="{147AEB33-6AD1-4C75-A266-DC2164B47AC7}"/>
    <hyperlink ref="B36" r:id="rId24" xr:uid="{5286B86D-E19B-4023-9639-0A90D7ABBDE0}"/>
    <hyperlink ref="B37" r:id="rId25" xr:uid="{00907861-9C9F-44A3-B5E9-E1A569FA78F6}"/>
    <hyperlink ref="B38" r:id="rId26" xr:uid="{21D8B88D-AF94-474C-977C-1792700B7C90}"/>
    <hyperlink ref="B3" r:id="rId27" xr:uid="{2B68CC81-6DE6-46C0-AD28-25970018FAE5}"/>
    <hyperlink ref="B4" r:id="rId28" xr:uid="{7D450CD0-0F7B-4647-B178-39B14D98D946}"/>
    <hyperlink ref="B5" r:id="rId29" xr:uid="{B628CBD7-A8D4-46A0-A699-4E200E956E78}"/>
    <hyperlink ref="B43" r:id="rId30" xr:uid="{3F1EC799-036A-49F0-9A64-4AD356FBF9C2}"/>
    <hyperlink ref="B44" r:id="rId31" xr:uid="{922EC4E3-1526-45E6-B6AB-FD0220848034}"/>
    <hyperlink ref="B45" r:id="rId32" xr:uid="{3B3EF3A5-FC18-4D4E-AAC2-4497E23849D9}"/>
    <hyperlink ref="B46" r:id="rId33" xr:uid="{E70F4F0B-2825-47C7-A9BA-0ACD52E504F1}"/>
    <hyperlink ref="B47" r:id="rId34" xr:uid="{35A6AE8E-DA7F-4C69-A76B-46599EB10A20}"/>
    <hyperlink ref="B48" r:id="rId35" xr:uid="{B0399824-0C50-4BAD-8160-03AD3BA4AEC6}"/>
    <hyperlink ref="B49" r:id="rId36" xr:uid="{580D99CA-DCBB-47C4-AB66-C6192FD25C87}"/>
    <hyperlink ref="B50" r:id="rId37" xr:uid="{16209B1B-9B7B-4830-BDDF-8167BE9435D5}"/>
    <hyperlink ref="B51" r:id="rId38" xr:uid="{16550007-7863-4020-B280-3037F9B1ABDF}"/>
    <hyperlink ref="B52" r:id="rId39" xr:uid="{5416AED6-423A-48ED-B6CA-07AE9A74F4FA}"/>
    <hyperlink ref="B21" r:id="rId40" xr:uid="{0AF7D781-ECF3-43A4-B93B-041883D81BB9}"/>
    <hyperlink ref="B22" r:id="rId41" xr:uid="{6C97A777-30A7-4CDE-BF86-1FBBDF855C00}"/>
    <hyperlink ref="B41" r:id="rId42" xr:uid="{49099A28-0793-4EBB-A2ED-24EE8DE6DCF8}"/>
    <hyperlink ref="B42" r:id="rId43" xr:uid="{5F40BA60-4157-4686-BC5B-85A4F318670E}"/>
    <hyperlink ref="B53" r:id="rId44" xr:uid="{AC80BE95-C3AB-4769-960E-385162BB9745}"/>
    <hyperlink ref="B12" r:id="rId45" xr:uid="{1B910DA0-1937-4DCC-B7CE-2A6DB23BEF64}"/>
    <hyperlink ref="B31" r:id="rId46" xr:uid="{CCE8408A-ABBE-4066-8E88-55313C6E5CB8}"/>
    <hyperlink ref="B10" r:id="rId47" display="Hotel Experience Champion Guide" xr:uid="{8A2F4D61-D327-4793-A90C-49F12AF9323C}"/>
    <hyperlink ref="B6" r:id="rId48" display="Managed Hotel - Leaders Guide" xr:uid="{2CD624C2-5158-48C1-BA3C-4CF568A1C4FC}"/>
    <hyperlink ref="B7" r:id="rId49" xr:uid="{A3DA7FAE-240A-449B-A294-9EC98C0EAA91}"/>
    <hyperlink ref="B8" r:id="rId50" xr:uid="{D83C3E95-1E5B-4D8C-BB27-1C5BDEBB9ADF}"/>
    <hyperlink ref="B9" r:id="rId51" xr:uid="{7AA7BD71-629A-4C09-95BE-F6005399D0CA}"/>
    <hyperlink ref="B39" r:id="rId52" display="IHG53503" xr:uid="{F1A4B0E9-4FAB-44B4-8E8D-5BA4242597E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1C7FC-B25A-448B-B673-E1139C907E77}">
  <sheetPr codeName="Sheet13">
    <tabColor rgb="FF2E5992"/>
  </sheetPr>
  <dimension ref="A1:X51"/>
  <sheetViews>
    <sheetView zoomScale="85" zoomScaleNormal="85" workbookViewId="0">
      <pane ySplit="1" topLeftCell="A37" activePane="bottomLeft" state="frozen"/>
      <selection activeCell="B1" sqref="B1:B1048576"/>
      <selection pane="bottomLeft" activeCell="B48" sqref="B48"/>
    </sheetView>
  </sheetViews>
  <sheetFormatPr defaultRowHeight="30" customHeight="1" x14ac:dyDescent="0.25"/>
  <cols>
    <col min="1" max="1" width="48.7109375" style="76" customWidth="1"/>
    <col min="2" max="2" width="16.7109375" style="78" customWidth="1"/>
    <col min="3" max="5" width="22.7109375" style="9" customWidth="1"/>
    <col min="6" max="6" width="31.7109375" style="78" customWidth="1"/>
    <col min="7" max="19" width="19.5703125" style="28" customWidth="1"/>
    <col min="20" max="24" width="9.140625" style="28"/>
    <col min="25" max="16384" width="9.140625" style="24"/>
  </cols>
  <sheetData>
    <row r="1" spans="1:19" ht="30" customHeight="1" x14ac:dyDescent="0.25">
      <c r="A1" s="33" t="s">
        <v>34</v>
      </c>
      <c r="B1" s="13" t="s">
        <v>50</v>
      </c>
      <c r="C1" s="4" t="s">
        <v>182</v>
      </c>
      <c r="D1" s="4" t="s">
        <v>183</v>
      </c>
      <c r="E1" s="4" t="s">
        <v>184</v>
      </c>
      <c r="F1" s="13" t="s">
        <v>51</v>
      </c>
      <c r="G1" s="13" t="s">
        <v>52</v>
      </c>
      <c r="H1" s="13" t="s">
        <v>53</v>
      </c>
      <c r="I1" s="13" t="s">
        <v>54</v>
      </c>
      <c r="J1" s="13" t="s">
        <v>55</v>
      </c>
      <c r="K1" s="13" t="s">
        <v>56</v>
      </c>
      <c r="L1" s="13" t="s">
        <v>57</v>
      </c>
      <c r="M1" s="13" t="s">
        <v>58</v>
      </c>
      <c r="N1" s="13" t="s">
        <v>59</v>
      </c>
      <c r="O1" s="13" t="s">
        <v>60</v>
      </c>
      <c r="P1" s="13" t="s">
        <v>61</v>
      </c>
      <c r="Q1" s="13" t="s">
        <v>62</v>
      </c>
      <c r="R1" s="13" t="s">
        <v>63</v>
      </c>
      <c r="S1" s="13" t="s">
        <v>64</v>
      </c>
    </row>
    <row r="2" spans="1:19" ht="30" customHeight="1" x14ac:dyDescent="0.25">
      <c r="A2" s="30" t="s">
        <v>65</v>
      </c>
      <c r="B2" s="12" t="s">
        <v>66</v>
      </c>
      <c r="C2" s="4">
        <f>_xlfn.XLOOKUP(B2,Lookups!G:G,Lookups!H:H,"",0,1)</f>
        <v>3</v>
      </c>
      <c r="D2" s="4" t="str">
        <f>_xlfn.XLOOKUP(C2,[1]Sheet2!$A$2:$A$11,[1]Sheet2!$B$2:$B$11,"Not found")</f>
        <v>within 30 days</v>
      </c>
      <c r="E2" s="4"/>
      <c r="F2" s="13" t="str">
        <f>_xlfn.XLOOKUP(B2,'Holiday Inn Express'!B:B,'Holiday Inn Express'!F:F,"",0,1)</f>
        <v xml:space="preserve">Self-paced Online Learning (1 Hour 15 Minutes). Hotel-led in-person training (On-Job-Training, OJT) is permitted &amp; completions must be tracked in myLearning. </v>
      </c>
      <c r="G2" s="13" t="s">
        <v>170</v>
      </c>
      <c r="H2" s="13" t="s">
        <v>170</v>
      </c>
      <c r="I2" s="13" t="s">
        <v>170</v>
      </c>
      <c r="J2" s="13" t="s">
        <v>170</v>
      </c>
      <c r="K2" s="13" t="s">
        <v>170</v>
      </c>
      <c r="L2" s="13" t="s">
        <v>170</v>
      </c>
      <c r="M2" s="13" t="s">
        <v>170</v>
      </c>
      <c r="N2" s="13" t="s">
        <v>170</v>
      </c>
      <c r="O2" s="13" t="s">
        <v>170</v>
      </c>
      <c r="P2" s="13" t="s">
        <v>170</v>
      </c>
      <c r="Q2" s="13" t="s">
        <v>170</v>
      </c>
      <c r="R2" s="13" t="s">
        <v>170</v>
      </c>
      <c r="S2" s="13" t="s">
        <v>170</v>
      </c>
    </row>
    <row r="3" spans="1:19" ht="30" customHeight="1" x14ac:dyDescent="0.25">
      <c r="A3" s="33" t="s">
        <v>280</v>
      </c>
      <c r="B3" s="12" t="s">
        <v>157</v>
      </c>
      <c r="C3" s="4">
        <f>_xlfn.XLOOKUP(B3,Lookups!G:G,Lookups!H:H,"",0,1)</f>
        <v>3</v>
      </c>
      <c r="D3" s="4" t="str">
        <f>_xlfn.XLOOKUP(C3,[1]Sheet2!$A$2:$A$11,[1]Sheet2!$B$2:$B$11,"Not found")</f>
        <v>within 30 days</v>
      </c>
      <c r="E3" s="4"/>
      <c r="F3" s="13" t="s">
        <v>296</v>
      </c>
      <c r="G3" s="13" t="s">
        <v>170</v>
      </c>
      <c r="H3" s="13" t="s">
        <v>170</v>
      </c>
      <c r="I3" s="13" t="s">
        <v>170</v>
      </c>
      <c r="J3" s="13" t="s">
        <v>170</v>
      </c>
      <c r="K3" s="13" t="s">
        <v>170</v>
      </c>
      <c r="L3" s="13" t="s">
        <v>170</v>
      </c>
      <c r="M3" s="13" t="s">
        <v>170</v>
      </c>
      <c r="N3" s="13" t="s">
        <v>170</v>
      </c>
      <c r="O3" s="13" t="s">
        <v>170</v>
      </c>
      <c r="P3" s="13" t="s">
        <v>170</v>
      </c>
      <c r="Q3" s="13" t="s">
        <v>170</v>
      </c>
      <c r="R3" s="13" t="s">
        <v>170</v>
      </c>
      <c r="S3" s="13" t="s">
        <v>170</v>
      </c>
    </row>
    <row r="4" spans="1:19" ht="30" customHeight="1" x14ac:dyDescent="0.25">
      <c r="A4" s="33" t="s">
        <v>281</v>
      </c>
      <c r="B4" s="12" t="s">
        <v>158</v>
      </c>
      <c r="C4" s="4">
        <f>_xlfn.XLOOKUP(B4,Lookups!G:G,Lookups!H:H,"",0,1)</f>
        <v>3</v>
      </c>
      <c r="D4" s="4" t="str">
        <f>_xlfn.XLOOKUP(C4,[1]Sheet2!$A$2:$A$11,[1]Sheet2!$B$2:$B$11,"Not found")</f>
        <v>within 30 days</v>
      </c>
      <c r="E4" s="4"/>
      <c r="F4" s="13" t="s">
        <v>296</v>
      </c>
      <c r="G4" s="13" t="s">
        <v>170</v>
      </c>
      <c r="H4" s="13" t="s">
        <v>170</v>
      </c>
      <c r="I4" s="13" t="s">
        <v>170</v>
      </c>
      <c r="J4" s="13" t="s">
        <v>170</v>
      </c>
      <c r="K4" s="13" t="s">
        <v>170</v>
      </c>
      <c r="L4" s="13" t="s">
        <v>170</v>
      </c>
      <c r="M4" s="13" t="s">
        <v>170</v>
      </c>
      <c r="N4" s="13" t="s">
        <v>170</v>
      </c>
      <c r="O4" s="13" t="s">
        <v>170</v>
      </c>
      <c r="P4" s="13" t="s">
        <v>170</v>
      </c>
      <c r="Q4" s="13" t="s">
        <v>170</v>
      </c>
      <c r="R4" s="13" t="s">
        <v>170</v>
      </c>
      <c r="S4" s="13" t="s">
        <v>170</v>
      </c>
    </row>
    <row r="5" spans="1:19" ht="30" customHeight="1" x14ac:dyDescent="0.25">
      <c r="A5" s="33" t="s">
        <v>292</v>
      </c>
      <c r="B5" s="16" t="s">
        <v>286</v>
      </c>
      <c r="C5" s="4">
        <f>_xlfn.XLOOKUP(B5,Lookups!G:G,Lookups!H:H,"",0,1)</f>
        <v>3</v>
      </c>
      <c r="D5" s="4" t="str">
        <f>_xlfn.XLOOKUP(C5,[1]Sheet2!$A$2:$A$11,[1]Sheet2!$B$2:$B$11,"Not found")</f>
        <v>within 30 days</v>
      </c>
      <c r="E5" s="4"/>
      <c r="F5" s="13" t="s">
        <v>290</v>
      </c>
      <c r="G5" s="13" t="s">
        <v>170</v>
      </c>
      <c r="H5" s="13" t="s">
        <v>170</v>
      </c>
      <c r="I5" s="13" t="s">
        <v>170</v>
      </c>
      <c r="J5" s="13" t="s">
        <v>170</v>
      </c>
      <c r="K5" s="13" t="s">
        <v>170</v>
      </c>
      <c r="L5" s="13" t="s">
        <v>170</v>
      </c>
      <c r="M5" s="13" t="s">
        <v>170</v>
      </c>
      <c r="N5" s="13"/>
      <c r="O5" s="13"/>
      <c r="P5" s="13"/>
      <c r="Q5" s="13"/>
      <c r="R5" s="13" t="s">
        <v>170</v>
      </c>
      <c r="S5" s="13"/>
    </row>
    <row r="6" spans="1:19" ht="30" customHeight="1" x14ac:dyDescent="0.25">
      <c r="A6" s="33" t="s">
        <v>292</v>
      </c>
      <c r="B6" s="16" t="s">
        <v>287</v>
      </c>
      <c r="C6" s="4">
        <f>_xlfn.XLOOKUP(B6,Lookups!G:G,Lookups!H:H,"",0,1)</f>
        <v>3</v>
      </c>
      <c r="D6" s="4" t="str">
        <f>_xlfn.XLOOKUP(C6,[1]Sheet2!$A$2:$A$11,[1]Sheet2!$B$2:$B$11,"Not found")</f>
        <v>within 30 days</v>
      </c>
      <c r="E6" s="4"/>
      <c r="F6" s="13" t="s">
        <v>290</v>
      </c>
      <c r="G6" s="13"/>
      <c r="H6" s="13"/>
      <c r="I6" s="13"/>
      <c r="J6" s="13"/>
      <c r="K6" s="13"/>
      <c r="L6" s="13"/>
      <c r="M6" s="13"/>
      <c r="N6" s="13" t="s">
        <v>170</v>
      </c>
      <c r="O6" s="13" t="s">
        <v>170</v>
      </c>
      <c r="P6" s="13" t="s">
        <v>170</v>
      </c>
      <c r="Q6" s="13" t="s">
        <v>170</v>
      </c>
      <c r="R6" s="13"/>
      <c r="S6" s="13" t="s">
        <v>170</v>
      </c>
    </row>
    <row r="7" spans="1:19" ht="30" customHeight="1" x14ac:dyDescent="0.25">
      <c r="A7" s="33" t="s">
        <v>293</v>
      </c>
      <c r="B7" s="16" t="s">
        <v>288</v>
      </c>
      <c r="C7" s="4">
        <f>_xlfn.XLOOKUP(B7,Lookups!G:G,Lookups!H:H,"",0,1)</f>
        <v>3</v>
      </c>
      <c r="D7" s="4" t="str">
        <f>_xlfn.XLOOKUP(C7,[1]Sheet2!$A$2:$A$11,[1]Sheet2!$B$2:$B$11,"Not found")</f>
        <v>within 30 days</v>
      </c>
      <c r="E7" s="4"/>
      <c r="F7" s="13" t="s">
        <v>291</v>
      </c>
      <c r="G7" s="13" t="s">
        <v>170</v>
      </c>
      <c r="H7" s="13" t="s">
        <v>170</v>
      </c>
      <c r="I7" s="13" t="s">
        <v>170</v>
      </c>
      <c r="J7" s="13" t="s">
        <v>170</v>
      </c>
      <c r="K7" s="13" t="s">
        <v>170</v>
      </c>
      <c r="L7" s="13" t="s">
        <v>170</v>
      </c>
      <c r="M7" s="13" t="s">
        <v>170</v>
      </c>
      <c r="N7" s="13"/>
      <c r="O7" s="13"/>
      <c r="P7" s="13"/>
      <c r="Q7" s="13"/>
      <c r="R7" s="13" t="s">
        <v>170</v>
      </c>
      <c r="S7" s="13"/>
    </row>
    <row r="8" spans="1:19" ht="30" customHeight="1" x14ac:dyDescent="0.25">
      <c r="A8" s="33" t="s">
        <v>293</v>
      </c>
      <c r="B8" s="16" t="s">
        <v>289</v>
      </c>
      <c r="C8" s="4">
        <f>_xlfn.XLOOKUP(B8,Lookups!G:G,Lookups!H:H,"",0,1)</f>
        <v>3</v>
      </c>
      <c r="D8" s="4" t="str">
        <f>_xlfn.XLOOKUP(C8,[1]Sheet2!$A$2:$A$11,[1]Sheet2!$B$2:$B$11,"Not found")</f>
        <v>within 30 days</v>
      </c>
      <c r="E8" s="4"/>
      <c r="F8" s="13" t="s">
        <v>291</v>
      </c>
      <c r="G8" s="13"/>
      <c r="H8" s="13"/>
      <c r="I8" s="13"/>
      <c r="J8" s="13"/>
      <c r="K8" s="13"/>
      <c r="L8" s="13"/>
      <c r="M8" s="13"/>
      <c r="N8" s="13" t="s">
        <v>170</v>
      </c>
      <c r="O8" s="13" t="s">
        <v>170</v>
      </c>
      <c r="P8" s="13" t="s">
        <v>170</v>
      </c>
      <c r="Q8" s="13" t="s">
        <v>170</v>
      </c>
      <c r="R8" s="13"/>
      <c r="S8" s="13" t="s">
        <v>170</v>
      </c>
    </row>
    <row r="9" spans="1:19" ht="30" customHeight="1" x14ac:dyDescent="0.25">
      <c r="A9" s="33" t="s">
        <v>69</v>
      </c>
      <c r="B9" s="16" t="s">
        <v>285</v>
      </c>
      <c r="C9" s="4">
        <v>3</v>
      </c>
      <c r="D9" s="4" t="str">
        <f>_xlfn.XLOOKUP(C9,[1]Sheet2!$A$2:$A$11,[1]Sheet2!$B$2:$B$11,"Not found")</f>
        <v>within 30 days</v>
      </c>
      <c r="E9" s="4"/>
      <c r="F9" s="4" t="s">
        <v>284</v>
      </c>
      <c r="G9" s="13" t="s">
        <v>170</v>
      </c>
      <c r="H9" s="13" t="s">
        <v>169</v>
      </c>
      <c r="I9" s="13" t="s">
        <v>169</v>
      </c>
      <c r="J9" s="13" t="s">
        <v>169</v>
      </c>
      <c r="K9" s="13" t="s">
        <v>169</v>
      </c>
      <c r="L9" s="13" t="s">
        <v>169</v>
      </c>
      <c r="M9" s="13" t="s">
        <v>169</v>
      </c>
      <c r="N9" s="13" t="s">
        <v>169</v>
      </c>
      <c r="O9" s="13" t="s">
        <v>169</v>
      </c>
      <c r="P9" s="13" t="s">
        <v>169</v>
      </c>
      <c r="Q9" s="13" t="s">
        <v>169</v>
      </c>
      <c r="R9" s="13" t="s">
        <v>169</v>
      </c>
      <c r="S9" s="13" t="s">
        <v>169</v>
      </c>
    </row>
    <row r="10" spans="1:19" ht="30" customHeight="1" x14ac:dyDescent="0.25">
      <c r="A10" s="33" t="s">
        <v>70</v>
      </c>
      <c r="B10" s="12" t="s">
        <v>71</v>
      </c>
      <c r="C10" s="4">
        <f>_xlfn.XLOOKUP(B10,Lookups!G:G,Lookups!H:H,"",0,1)</f>
        <v>4</v>
      </c>
      <c r="D10" s="4" t="str">
        <f>_xlfn.XLOOKUP(C10,[1]Sheet2!$A$2:$A$11,[1]Sheet2!$B$2:$B$11,"Not found")</f>
        <v>within 60 days</v>
      </c>
      <c r="E10" s="4"/>
      <c r="F10" s="13" t="str">
        <f>_xlfn.XLOOKUP(B10,'Holiday Inn Express'!B:B,'Holiday Inn Express'!F:F,"",0,1)</f>
        <v>Self-paced Online Learning (1 Hour 45 Minutes).</v>
      </c>
      <c r="G10" s="13" t="s">
        <v>170</v>
      </c>
      <c r="H10" s="13" t="s">
        <v>170</v>
      </c>
      <c r="I10" s="13" t="s">
        <v>170</v>
      </c>
      <c r="J10" s="13" t="s">
        <v>170</v>
      </c>
      <c r="K10" s="13" t="s">
        <v>170</v>
      </c>
      <c r="L10" s="13" t="s">
        <v>170</v>
      </c>
      <c r="M10" s="13" t="s">
        <v>170</v>
      </c>
      <c r="N10" s="13" t="s">
        <v>169</v>
      </c>
      <c r="O10" s="13" t="s">
        <v>169</v>
      </c>
      <c r="P10" s="13" t="s">
        <v>169</v>
      </c>
      <c r="Q10" s="13" t="s">
        <v>169</v>
      </c>
      <c r="R10" s="13" t="s">
        <v>170</v>
      </c>
      <c r="S10" s="13" t="s">
        <v>169</v>
      </c>
    </row>
    <row r="11" spans="1:19" ht="30" customHeight="1" x14ac:dyDescent="0.25">
      <c r="A11" s="33" t="s">
        <v>274</v>
      </c>
      <c r="B11" s="3" t="s">
        <v>274</v>
      </c>
      <c r="C11" s="4">
        <v>10</v>
      </c>
      <c r="D11" s="4" t="str">
        <f>_xlfn.XLOOKUP(C11,[1]Sheet2!$A$2:$A$11,[1]Sheet2!$B$2:$B$11,"Not found")</f>
        <v>Suggested Learning</v>
      </c>
      <c r="E11" s="4"/>
      <c r="F11" s="13" t="str">
        <f>_xlfn.XLOOKUP(B11,'Holiday Inn Express'!B:B,'Holiday Inn Express'!F:F,"",0,1)</f>
        <v>Explore resource and apply accordingly</v>
      </c>
      <c r="G11" s="13" t="s">
        <v>170</v>
      </c>
      <c r="H11" s="13" t="s">
        <v>170</v>
      </c>
      <c r="I11" s="13" t="s">
        <v>170</v>
      </c>
      <c r="J11" s="13" t="s">
        <v>170</v>
      </c>
      <c r="K11" s="13" t="s">
        <v>170</v>
      </c>
      <c r="L11" s="13" t="s">
        <v>170</v>
      </c>
      <c r="M11" s="13" t="s">
        <v>170</v>
      </c>
      <c r="N11" s="13" t="s">
        <v>169</v>
      </c>
      <c r="O11" s="13" t="s">
        <v>169</v>
      </c>
      <c r="P11" s="13" t="s">
        <v>169</v>
      </c>
      <c r="Q11" s="13" t="s">
        <v>169</v>
      </c>
      <c r="R11" s="13" t="s">
        <v>170</v>
      </c>
      <c r="S11" s="13" t="s">
        <v>169</v>
      </c>
    </row>
    <row r="12" spans="1:19" ht="30" customHeight="1" x14ac:dyDescent="0.25">
      <c r="A12" s="33" t="s">
        <v>168</v>
      </c>
      <c r="B12" s="12" t="s">
        <v>72</v>
      </c>
      <c r="C12" s="4">
        <f>_xlfn.XLOOKUP(B12,Lookups!G:G,Lookups!H:H,"",0,1)</f>
        <v>3</v>
      </c>
      <c r="D12" s="4" t="str">
        <f>_xlfn.XLOOKUP(C12,[1]Sheet2!$A$2:$A$11,[1]Sheet2!$B$2:$B$11,"Not found")</f>
        <v>within 30 days</v>
      </c>
      <c r="E12" s="4"/>
      <c r="F12" s="13" t="str">
        <f>_xlfn.XLOOKUP(B12,'Holiday Inn Express'!B:B,'Holiday Inn Express'!F:F,"",0,1)</f>
        <v xml:space="preserve">Self-paced Online Learning (1 Hour). Hotel-led in-person training (On-Job-Training, OJT) is permitted &amp; completions must be tracked in myLearning. </v>
      </c>
      <c r="G12" s="13" t="s">
        <v>170</v>
      </c>
      <c r="H12" s="13" t="s">
        <v>170</v>
      </c>
      <c r="I12" s="13" t="s">
        <v>170</v>
      </c>
      <c r="J12" s="13" t="s">
        <v>170</v>
      </c>
      <c r="K12" s="13" t="s">
        <v>170</v>
      </c>
      <c r="L12" s="13" t="s">
        <v>170</v>
      </c>
      <c r="M12" s="13" t="s">
        <v>170</v>
      </c>
      <c r="N12" s="13" t="s">
        <v>170</v>
      </c>
      <c r="O12" s="13" t="s">
        <v>170</v>
      </c>
      <c r="P12" s="13" t="s">
        <v>170</v>
      </c>
      <c r="Q12" s="13" t="s">
        <v>170</v>
      </c>
      <c r="R12" s="13" t="s">
        <v>170</v>
      </c>
      <c r="S12" s="13" t="s">
        <v>170</v>
      </c>
    </row>
    <row r="13" spans="1:19" ht="30" customHeight="1" x14ac:dyDescent="0.25">
      <c r="A13" s="33" t="s">
        <v>73</v>
      </c>
      <c r="B13" s="17" t="s">
        <v>74</v>
      </c>
      <c r="C13" s="4">
        <f>_xlfn.XLOOKUP(B13,Lookups!G:G,Lookups!H:H,"",0,1)</f>
        <v>3</v>
      </c>
      <c r="D13" s="4" t="str">
        <f>_xlfn.XLOOKUP(C13,[1]Sheet2!$A$2:$A$11,[1]Sheet2!$B$2:$B$11,"Not found")</f>
        <v>within 30 days</v>
      </c>
      <c r="E13" s="4"/>
      <c r="F13" s="13" t="str">
        <f>_xlfn.XLOOKUP(B13,'Holiday Inn Express'!B:B,'Holiday Inn Express'!F:F,"",0,1)</f>
        <v>Self-paced Online Learning (20 Minutes).</v>
      </c>
      <c r="G13" s="13" t="s">
        <v>170</v>
      </c>
      <c r="H13" s="13" t="s">
        <v>170</v>
      </c>
      <c r="I13" s="13" t="s">
        <v>170</v>
      </c>
      <c r="J13" s="13" t="s">
        <v>170</v>
      </c>
      <c r="K13" s="13" t="s">
        <v>170</v>
      </c>
      <c r="L13" s="13" t="s">
        <v>170</v>
      </c>
      <c r="M13" s="13" t="s">
        <v>170</v>
      </c>
      <c r="N13" s="13" t="s">
        <v>170</v>
      </c>
      <c r="O13" s="13" t="s">
        <v>170</v>
      </c>
      <c r="P13" s="13" t="s">
        <v>170</v>
      </c>
      <c r="Q13" s="13" t="s">
        <v>170</v>
      </c>
      <c r="R13" s="13" t="s">
        <v>170</v>
      </c>
      <c r="S13" s="13" t="s">
        <v>170</v>
      </c>
    </row>
    <row r="14" spans="1:19" ht="30" customHeight="1" x14ac:dyDescent="0.25">
      <c r="A14" s="33" t="s">
        <v>75</v>
      </c>
      <c r="B14" s="17" t="s">
        <v>76</v>
      </c>
      <c r="C14" s="4">
        <f>_xlfn.XLOOKUP(B14,Lookups!G:G,Lookups!H:H,"",0,1)</f>
        <v>3</v>
      </c>
      <c r="D14" s="4" t="str">
        <f>_xlfn.XLOOKUP(C14,[1]Sheet2!$A$2:$A$11,[1]Sheet2!$B$2:$B$11,"Not found")</f>
        <v>within 30 days</v>
      </c>
      <c r="E14" s="4"/>
      <c r="F14" s="13" t="str">
        <f>_xlfn.XLOOKUP(B14,'Holiday Inn Express'!B:B,'Holiday Inn Express'!F:F,"",0,1)</f>
        <v>Self-paced Online Learning (20 Minutes).</v>
      </c>
      <c r="G14" s="13" t="s">
        <v>170</v>
      </c>
      <c r="H14" s="13" t="s">
        <v>170</v>
      </c>
      <c r="I14" s="13" t="s">
        <v>170</v>
      </c>
      <c r="J14" s="13" t="s">
        <v>170</v>
      </c>
      <c r="K14" s="13" t="s">
        <v>170</v>
      </c>
      <c r="L14" s="13" t="s">
        <v>170</v>
      </c>
      <c r="M14" s="13" t="s">
        <v>170</v>
      </c>
      <c r="N14" s="13" t="s">
        <v>169</v>
      </c>
      <c r="O14" s="13" t="s">
        <v>169</v>
      </c>
      <c r="P14" s="13" t="s">
        <v>169</v>
      </c>
      <c r="Q14" s="13" t="s">
        <v>169</v>
      </c>
      <c r="R14" s="13" t="s">
        <v>170</v>
      </c>
      <c r="S14" s="13" t="s">
        <v>169</v>
      </c>
    </row>
    <row r="15" spans="1:19" ht="30" customHeight="1" x14ac:dyDescent="0.25">
      <c r="A15" s="33" t="s">
        <v>77</v>
      </c>
      <c r="B15" s="17" t="s">
        <v>78</v>
      </c>
      <c r="C15" s="4">
        <f>_xlfn.XLOOKUP(B15,Lookups!G:G,Lookups!H:H,"",0,1)</f>
        <v>3</v>
      </c>
      <c r="D15" s="4" t="str">
        <f>_xlfn.XLOOKUP(C15,[1]Sheet2!$A$2:$A$11,[1]Sheet2!$B$2:$B$11,"Not found")</f>
        <v>within 30 days</v>
      </c>
      <c r="E15" s="4"/>
      <c r="F15" s="13" t="str">
        <f>_xlfn.XLOOKUP(B15,'Holiday Inn Express'!B:B,'Holiday Inn Express'!F:F,"",0,1)</f>
        <v>Self-paced Online Learning (20 Minutes).</v>
      </c>
      <c r="G15" s="13" t="s">
        <v>170</v>
      </c>
      <c r="H15" s="13" t="s">
        <v>170</v>
      </c>
      <c r="I15" s="13" t="s">
        <v>170</v>
      </c>
      <c r="J15" s="13" t="s">
        <v>170</v>
      </c>
      <c r="K15" s="13" t="s">
        <v>170</v>
      </c>
      <c r="L15" s="13" t="s">
        <v>170</v>
      </c>
      <c r="M15" s="13" t="s">
        <v>170</v>
      </c>
      <c r="N15" s="13" t="s">
        <v>170</v>
      </c>
      <c r="O15" s="13" t="s">
        <v>170</v>
      </c>
      <c r="P15" s="13" t="s">
        <v>170</v>
      </c>
      <c r="Q15" s="13" t="s">
        <v>170</v>
      </c>
      <c r="R15" s="13" t="s">
        <v>170</v>
      </c>
      <c r="S15" s="13" t="s">
        <v>170</v>
      </c>
    </row>
    <row r="16" spans="1:19" ht="30" customHeight="1" x14ac:dyDescent="0.25">
      <c r="A16" s="33" t="s">
        <v>79</v>
      </c>
      <c r="B16" s="17" t="s">
        <v>80</v>
      </c>
      <c r="C16" s="4">
        <f>_xlfn.XLOOKUP(B16,Lookups!G:G,Lookups!H:H,"",0,1)</f>
        <v>3</v>
      </c>
      <c r="D16" s="4" t="str">
        <f>_xlfn.XLOOKUP(C16,[1]Sheet2!$A$2:$A$11,[1]Sheet2!$B$2:$B$11,"Not found")</f>
        <v>within 30 days</v>
      </c>
      <c r="E16" s="4"/>
      <c r="F16" s="13" t="str">
        <f>_xlfn.XLOOKUP(B16,'Holiday Inn Express'!B:B,'Holiday Inn Express'!F:F,"",0,1)</f>
        <v>Self-paced Online Learning (15 Minutes).</v>
      </c>
      <c r="G16" s="13" t="s">
        <v>170</v>
      </c>
      <c r="H16" s="13" t="s">
        <v>170</v>
      </c>
      <c r="I16" s="13" t="s">
        <v>170</v>
      </c>
      <c r="J16" s="13" t="s">
        <v>170</v>
      </c>
      <c r="K16" s="13" t="s">
        <v>170</v>
      </c>
      <c r="L16" s="13" t="s">
        <v>170</v>
      </c>
      <c r="M16" s="13" t="s">
        <v>170</v>
      </c>
      <c r="N16" s="13" t="s">
        <v>170</v>
      </c>
      <c r="O16" s="13" t="s">
        <v>170</v>
      </c>
      <c r="P16" s="13" t="s">
        <v>170</v>
      </c>
      <c r="Q16" s="13" t="s">
        <v>170</v>
      </c>
      <c r="R16" s="13" t="s">
        <v>170</v>
      </c>
      <c r="S16" s="13" t="s">
        <v>170</v>
      </c>
    </row>
    <row r="17" spans="1:19" ht="30" customHeight="1" x14ac:dyDescent="0.25">
      <c r="A17" s="33" t="s">
        <v>81</v>
      </c>
      <c r="B17" s="17" t="s">
        <v>82</v>
      </c>
      <c r="C17" s="4">
        <f>_xlfn.XLOOKUP(B17,Lookups!G:G,Lookups!H:H,"",0,1)</f>
        <v>3</v>
      </c>
      <c r="D17" s="4" t="str">
        <f>_xlfn.XLOOKUP(C17,[1]Sheet2!$A$2:$A$11,[1]Sheet2!$B$2:$B$11,"Not found")</f>
        <v>within 30 days</v>
      </c>
      <c r="E17" s="4"/>
      <c r="F17" s="13" t="str">
        <f>_xlfn.XLOOKUP(B17,'Holiday Inn Express'!B:B,'Holiday Inn Express'!F:F,"",0,1)</f>
        <v>Self-paced Online Learning (20 Minutes).</v>
      </c>
      <c r="G17" s="13" t="s">
        <v>170</v>
      </c>
      <c r="H17" s="13" t="s">
        <v>170</v>
      </c>
      <c r="I17" s="13" t="s">
        <v>170</v>
      </c>
      <c r="J17" s="13" t="s">
        <v>170</v>
      </c>
      <c r="K17" s="13" t="s">
        <v>170</v>
      </c>
      <c r="L17" s="13" t="s">
        <v>170</v>
      </c>
      <c r="M17" s="13" t="s">
        <v>170</v>
      </c>
      <c r="N17" s="13" t="s">
        <v>170</v>
      </c>
      <c r="O17" s="13" t="s">
        <v>170</v>
      </c>
      <c r="P17" s="13" t="s">
        <v>170</v>
      </c>
      <c r="Q17" s="13" t="s">
        <v>170</v>
      </c>
      <c r="R17" s="13" t="s">
        <v>170</v>
      </c>
      <c r="S17" s="13" t="s">
        <v>170</v>
      </c>
    </row>
    <row r="18" spans="1:19" ht="30" customHeight="1" x14ac:dyDescent="0.25">
      <c r="A18" s="33" t="s">
        <v>83</v>
      </c>
      <c r="B18" s="17" t="s">
        <v>84</v>
      </c>
      <c r="C18" s="4">
        <f>_xlfn.XLOOKUP(B18,Lookups!G:G,Lookups!H:H,"",0,1)</f>
        <v>10</v>
      </c>
      <c r="D18" s="4" t="str">
        <f>_xlfn.XLOOKUP(C18,[1]Sheet2!$A$2:$A$11,[1]Sheet2!$B$2:$B$11,"Not found")</f>
        <v>Suggested Learning</v>
      </c>
      <c r="E18" s="4"/>
      <c r="F18" s="13" t="str">
        <f>_xlfn.XLOOKUP(B18,'Holiday Inn Express'!B:B,'Holiday Inn Express'!F:F,"",0,1)</f>
        <v>Self-paced Online Learning.</v>
      </c>
      <c r="G18" s="13" t="s">
        <v>170</v>
      </c>
      <c r="H18" s="13" t="s">
        <v>170</v>
      </c>
      <c r="I18" s="13" t="s">
        <v>170</v>
      </c>
      <c r="J18" s="13" t="s">
        <v>170</v>
      </c>
      <c r="K18" s="13" t="s">
        <v>170</v>
      </c>
      <c r="L18" s="13" t="s">
        <v>170</v>
      </c>
      <c r="M18" s="13" t="s">
        <v>170</v>
      </c>
      <c r="N18" s="13" t="s">
        <v>170</v>
      </c>
      <c r="O18" s="13" t="s">
        <v>169</v>
      </c>
      <c r="P18" s="13" t="s">
        <v>169</v>
      </c>
      <c r="Q18" s="13" t="s">
        <v>169</v>
      </c>
      <c r="R18" s="13" t="s">
        <v>170</v>
      </c>
      <c r="S18" s="13" t="s">
        <v>170</v>
      </c>
    </row>
    <row r="19" spans="1:19" ht="30" customHeight="1" x14ac:dyDescent="0.25">
      <c r="A19" s="33" t="s">
        <v>85</v>
      </c>
      <c r="B19" s="17" t="s">
        <v>86</v>
      </c>
      <c r="C19" s="4">
        <f>_xlfn.XLOOKUP(B19,Lookups!G:G,Lookups!H:H,"",0,1)</f>
        <v>10</v>
      </c>
      <c r="D19" s="4" t="str">
        <f>_xlfn.XLOOKUP(C19,[1]Sheet2!$A$2:$A$11,[1]Sheet2!$B$2:$B$11,"Not found")</f>
        <v>Suggested Learning</v>
      </c>
      <c r="E19" s="4"/>
      <c r="F19" s="13" t="str">
        <f>_xlfn.XLOOKUP(B19,'Holiday Inn Express'!B:B,'Holiday Inn Express'!F:F,"",0,1)</f>
        <v>Self-paced Online Learning.</v>
      </c>
      <c r="G19" s="13" t="s">
        <v>170</v>
      </c>
      <c r="H19" s="13" t="s">
        <v>169</v>
      </c>
      <c r="I19" s="13" t="s">
        <v>169</v>
      </c>
      <c r="J19" s="13" t="s">
        <v>170</v>
      </c>
      <c r="K19" s="13" t="s">
        <v>169</v>
      </c>
      <c r="L19" s="13" t="s">
        <v>169</v>
      </c>
      <c r="M19" s="13" t="s">
        <v>169</v>
      </c>
      <c r="N19" s="13" t="s">
        <v>170</v>
      </c>
      <c r="O19" s="13" t="s">
        <v>169</v>
      </c>
      <c r="P19" s="13" t="s">
        <v>169</v>
      </c>
      <c r="Q19" s="13" t="s">
        <v>169</v>
      </c>
      <c r="R19" s="13" t="s">
        <v>169</v>
      </c>
      <c r="S19" s="13" t="s">
        <v>169</v>
      </c>
    </row>
    <row r="20" spans="1:19" ht="30" customHeight="1" x14ac:dyDescent="0.25">
      <c r="A20" s="33" t="s">
        <v>87</v>
      </c>
      <c r="B20" s="15" t="s">
        <v>88</v>
      </c>
      <c r="C20" s="4">
        <f>_xlfn.XLOOKUP(B20,Lookups!G:G,Lookups!H:H,"",0,1)</f>
        <v>3</v>
      </c>
      <c r="D20" s="4" t="str">
        <f>_xlfn.XLOOKUP(C20,[1]Sheet2!$A$2:$A$11,[1]Sheet2!$B$2:$B$11,"Not found")</f>
        <v>within 30 days</v>
      </c>
      <c r="E20" s="4"/>
      <c r="F20" s="13" t="str">
        <f>_xlfn.XLOOKUP(B20,'Holiday Inn Express'!B:B,'Holiday Inn Express'!F:F,"",0,1)</f>
        <v xml:space="preserve">Hotel-led in-person training (On-Job-Training, OJT) is permitted &amp; completions must be tracked in myLearning. </v>
      </c>
      <c r="G20" s="13" t="s">
        <v>169</v>
      </c>
      <c r="H20" s="13" t="s">
        <v>169</v>
      </c>
      <c r="I20" s="13" t="s">
        <v>169</v>
      </c>
      <c r="J20" s="13" t="s">
        <v>169</v>
      </c>
      <c r="K20" s="13" t="s">
        <v>170</v>
      </c>
      <c r="L20" s="13" t="s">
        <v>169</v>
      </c>
      <c r="M20" s="13" t="s">
        <v>169</v>
      </c>
      <c r="N20" s="13" t="s">
        <v>169</v>
      </c>
      <c r="O20" s="13" t="s">
        <v>170</v>
      </c>
      <c r="P20" s="13" t="s">
        <v>170</v>
      </c>
      <c r="Q20" s="13" t="s">
        <v>169</v>
      </c>
      <c r="R20" s="13" t="s">
        <v>169</v>
      </c>
      <c r="S20" s="13" t="s">
        <v>169</v>
      </c>
    </row>
    <row r="21" spans="1:19" ht="30" customHeight="1" x14ac:dyDescent="0.25">
      <c r="A21" s="33" t="s">
        <v>89</v>
      </c>
      <c r="B21" s="16" t="s">
        <v>90</v>
      </c>
      <c r="C21" s="4">
        <f>_xlfn.XLOOKUP(B21,Lookups!G:G,Lookups!H:H,"",0,1)</f>
        <v>3</v>
      </c>
      <c r="D21" s="4" t="str">
        <f>_xlfn.XLOOKUP(C21,[1]Sheet2!$A$2:$A$11,[1]Sheet2!$B$2:$B$11,"Not found")</f>
        <v>within 30 days</v>
      </c>
      <c r="E21" s="4"/>
      <c r="F21" s="13" t="str">
        <f>_xlfn.XLOOKUP(B21,'Holiday Inn Express'!B:B,'Holiday Inn Express'!F:F,"",0,1)</f>
        <v xml:space="preserve">Self-paced Online Learning (20 Minutes). Hotel-led in-person training (On-Job-Training, OJT) is permitted &amp; completions must be tracked in myLearning. </v>
      </c>
      <c r="G21" s="13" t="s">
        <v>170</v>
      </c>
      <c r="H21" s="13" t="s">
        <v>170</v>
      </c>
      <c r="I21" s="13" t="s">
        <v>170</v>
      </c>
      <c r="J21" s="13" t="s">
        <v>170</v>
      </c>
      <c r="K21" s="13" t="s">
        <v>169</v>
      </c>
      <c r="L21" s="13" t="s">
        <v>170</v>
      </c>
      <c r="M21" s="13" t="s">
        <v>170</v>
      </c>
      <c r="N21" s="13" t="s">
        <v>170</v>
      </c>
      <c r="O21" s="13" t="s">
        <v>169</v>
      </c>
      <c r="P21" s="13" t="s">
        <v>169</v>
      </c>
      <c r="Q21" s="13" t="s">
        <v>170</v>
      </c>
      <c r="R21" s="13" t="s">
        <v>170</v>
      </c>
      <c r="S21" s="13" t="s">
        <v>170</v>
      </c>
    </row>
    <row r="22" spans="1:19" ht="30" customHeight="1" x14ac:dyDescent="0.25">
      <c r="A22" s="33" t="s">
        <v>91</v>
      </c>
      <c r="B22" s="17" t="s">
        <v>92</v>
      </c>
      <c r="C22" s="4">
        <f>_xlfn.XLOOKUP(B22,Lookups!G:G,Lookups!H:H,"",0,1)</f>
        <v>10</v>
      </c>
      <c r="D22" s="4" t="str">
        <f>_xlfn.XLOOKUP(C22,[1]Sheet2!$A$2:$A$11,[1]Sheet2!$B$2:$B$11,"Not found")</f>
        <v>Suggested Learning</v>
      </c>
      <c r="E22" s="4"/>
      <c r="F22" s="13" t="str">
        <f>_xlfn.XLOOKUP(B22,'Holiday Inn Express'!B:B,'Holiday Inn Express'!F:F,"",0,1)</f>
        <v>Self-paced Online Learning.</v>
      </c>
      <c r="G22" s="13" t="s">
        <v>170</v>
      </c>
      <c r="H22" s="13" t="s">
        <v>170</v>
      </c>
      <c r="I22" s="13" t="s">
        <v>170</v>
      </c>
      <c r="J22" s="13" t="s">
        <v>170</v>
      </c>
      <c r="K22" s="13" t="s">
        <v>169</v>
      </c>
      <c r="L22" s="13" t="s">
        <v>169</v>
      </c>
      <c r="M22" s="13" t="s">
        <v>169</v>
      </c>
      <c r="N22" s="13" t="s">
        <v>169</v>
      </c>
      <c r="O22" s="13" t="s">
        <v>169</v>
      </c>
      <c r="P22" s="13" t="s">
        <v>169</v>
      </c>
      <c r="Q22" s="13" t="s">
        <v>169</v>
      </c>
      <c r="R22" s="13" t="s">
        <v>169</v>
      </c>
      <c r="S22" s="13" t="s">
        <v>169</v>
      </c>
    </row>
    <row r="23" spans="1:19" ht="30" customHeight="1" x14ac:dyDescent="0.25">
      <c r="A23" s="33" t="s">
        <v>93</v>
      </c>
      <c r="B23" s="17" t="s">
        <v>94</v>
      </c>
      <c r="C23" s="4">
        <f>_xlfn.XLOOKUP(B23,Lookups!G:G,Lookups!H:H,"",0,1)</f>
        <v>10</v>
      </c>
      <c r="D23" s="4" t="str">
        <f>_xlfn.XLOOKUP(C23,[1]Sheet2!$A$2:$A$11,[1]Sheet2!$B$2:$B$11,"Not found")</f>
        <v>Suggested Learning</v>
      </c>
      <c r="E23" s="4"/>
      <c r="F23" s="13" t="str">
        <f>_xlfn.XLOOKUP(B23,'Holiday Inn Express'!B:B,'Holiday Inn Express'!F:F,"",0,1)</f>
        <v>Self-paced Online Learning.</v>
      </c>
      <c r="G23" s="13" t="s">
        <v>170</v>
      </c>
      <c r="H23" s="13" t="s">
        <v>169</v>
      </c>
      <c r="I23" s="13" t="s">
        <v>169</v>
      </c>
      <c r="J23" s="13" t="s">
        <v>169</v>
      </c>
      <c r="K23" s="13" t="s">
        <v>169</v>
      </c>
      <c r="L23" s="13" t="s">
        <v>169</v>
      </c>
      <c r="M23" s="13" t="s">
        <v>169</v>
      </c>
      <c r="N23" s="13" t="s">
        <v>169</v>
      </c>
      <c r="O23" s="13" t="s">
        <v>169</v>
      </c>
      <c r="P23" s="13" t="s">
        <v>169</v>
      </c>
      <c r="Q23" s="13" t="s">
        <v>169</v>
      </c>
      <c r="R23" s="13" t="s">
        <v>169</v>
      </c>
      <c r="S23" s="13" t="s">
        <v>169</v>
      </c>
    </row>
    <row r="24" spans="1:19" ht="30" customHeight="1" x14ac:dyDescent="0.25">
      <c r="A24" s="33" t="s">
        <v>95</v>
      </c>
      <c r="B24" s="17" t="s">
        <v>96</v>
      </c>
      <c r="C24" s="4">
        <f>_xlfn.XLOOKUP(B24,Lookups!G:G,Lookups!H:H,"",0,1)</f>
        <v>10</v>
      </c>
      <c r="D24" s="4" t="str">
        <f>_xlfn.XLOOKUP(C24,[1]Sheet2!$A$2:$A$11,[1]Sheet2!$B$2:$B$11,"Not found")</f>
        <v>Suggested Learning</v>
      </c>
      <c r="E24" s="4"/>
      <c r="F24" s="13" t="str">
        <f>_xlfn.XLOOKUP(B24,'Holiday Inn Express'!B:B,'Holiday Inn Express'!F:F,"",0,1)</f>
        <v>Self-paced Online Learning.</v>
      </c>
      <c r="G24" s="13" t="s">
        <v>170</v>
      </c>
      <c r="H24" s="13" t="s">
        <v>169</v>
      </c>
      <c r="I24" s="13" t="s">
        <v>169</v>
      </c>
      <c r="J24" s="13" t="s">
        <v>169</v>
      </c>
      <c r="K24" s="13" t="s">
        <v>169</v>
      </c>
      <c r="L24" s="13" t="s">
        <v>169</v>
      </c>
      <c r="M24" s="13" t="s">
        <v>169</v>
      </c>
      <c r="N24" s="13" t="s">
        <v>169</v>
      </c>
      <c r="O24" s="13" t="s">
        <v>169</v>
      </c>
      <c r="P24" s="13" t="s">
        <v>169</v>
      </c>
      <c r="Q24" s="13" t="s">
        <v>169</v>
      </c>
      <c r="R24" s="13" t="s">
        <v>169</v>
      </c>
      <c r="S24" s="13" t="s">
        <v>169</v>
      </c>
    </row>
    <row r="25" spans="1:19" ht="30" customHeight="1" x14ac:dyDescent="0.25">
      <c r="A25" s="33" t="s">
        <v>97</v>
      </c>
      <c r="B25" s="17" t="s">
        <v>98</v>
      </c>
      <c r="C25" s="4">
        <f>_xlfn.XLOOKUP(B25,Lookups!G:G,Lookups!H:H,"",0,1)</f>
        <v>10</v>
      </c>
      <c r="D25" s="4" t="str">
        <f>_xlfn.XLOOKUP(C25,[1]Sheet2!$A$2:$A$11,[1]Sheet2!$B$2:$B$11,"Not found")</f>
        <v>Suggested Learning</v>
      </c>
      <c r="E25" s="4"/>
      <c r="F25" s="13" t="str">
        <f>_xlfn.XLOOKUP(B25,'Holiday Inn Express'!B:B,'Holiday Inn Express'!F:F,"",0,1)</f>
        <v>Self-paced Online Learning.</v>
      </c>
      <c r="G25" s="13" t="s">
        <v>170</v>
      </c>
      <c r="H25" s="13" t="s">
        <v>169</v>
      </c>
      <c r="I25" s="13" t="s">
        <v>169</v>
      </c>
      <c r="J25" s="13" t="s">
        <v>169</v>
      </c>
      <c r="K25" s="13" t="s">
        <v>169</v>
      </c>
      <c r="L25" s="13" t="s">
        <v>169</v>
      </c>
      <c r="M25" s="13" t="s">
        <v>169</v>
      </c>
      <c r="N25" s="13" t="s">
        <v>169</v>
      </c>
      <c r="O25" s="13" t="s">
        <v>169</v>
      </c>
      <c r="P25" s="13" t="s">
        <v>169</v>
      </c>
      <c r="Q25" s="13" t="s">
        <v>169</v>
      </c>
      <c r="R25" s="13" t="s">
        <v>169</v>
      </c>
      <c r="S25" s="13" t="s">
        <v>169</v>
      </c>
    </row>
    <row r="26" spans="1:19" ht="30" customHeight="1" x14ac:dyDescent="0.25">
      <c r="A26" s="33" t="s">
        <v>99</v>
      </c>
      <c r="B26" s="17" t="s">
        <v>100</v>
      </c>
      <c r="C26" s="4">
        <f>_xlfn.XLOOKUP(B26,Lookups!G:G,Lookups!H:H,"",0,1)</f>
        <v>10</v>
      </c>
      <c r="D26" s="4" t="str">
        <f>_xlfn.XLOOKUP(C26,[1]Sheet2!$A$2:$A$11,[1]Sheet2!$B$2:$B$11,"Not found")</f>
        <v>Suggested Learning</v>
      </c>
      <c r="E26" s="4"/>
      <c r="F26" s="13" t="str">
        <f>_xlfn.XLOOKUP(B26,'Holiday Inn Express'!B:B,'Holiday Inn Express'!F:F,"",0,1)</f>
        <v>Self-paced Online Learning.</v>
      </c>
      <c r="G26" s="13" t="s">
        <v>170</v>
      </c>
      <c r="H26" s="13" t="s">
        <v>169</v>
      </c>
      <c r="I26" s="13" t="s">
        <v>169</v>
      </c>
      <c r="J26" s="13" t="s">
        <v>169</v>
      </c>
      <c r="K26" s="13" t="s">
        <v>169</v>
      </c>
      <c r="L26" s="13" t="s">
        <v>169</v>
      </c>
      <c r="M26" s="13" t="s">
        <v>169</v>
      </c>
      <c r="N26" s="13" t="s">
        <v>169</v>
      </c>
      <c r="O26" s="13" t="s">
        <v>169</v>
      </c>
      <c r="P26" s="13" t="s">
        <v>169</v>
      </c>
      <c r="Q26" s="13" t="s">
        <v>169</v>
      </c>
      <c r="R26" s="13" t="s">
        <v>169</v>
      </c>
      <c r="S26" s="13" t="s">
        <v>169</v>
      </c>
    </row>
    <row r="27" spans="1:19" ht="30" customHeight="1" x14ac:dyDescent="0.25">
      <c r="A27" s="33" t="s">
        <v>101</v>
      </c>
      <c r="B27" s="17" t="s">
        <v>102</v>
      </c>
      <c r="C27" s="4">
        <f>_xlfn.XLOOKUP(B27,Lookups!G:G,Lookups!H:H,"",0,1)</f>
        <v>10</v>
      </c>
      <c r="D27" s="4" t="str">
        <f>_xlfn.XLOOKUP(C27,[1]Sheet2!$A$2:$A$11,[1]Sheet2!$B$2:$B$11,"Not found")</f>
        <v>Suggested Learning</v>
      </c>
      <c r="E27" s="4"/>
      <c r="F27" s="13" t="str">
        <f>_xlfn.XLOOKUP(B27,'Holiday Inn Express'!B:B,'Holiday Inn Express'!F:F,"",0,1)</f>
        <v>Self-paced Online Learning.</v>
      </c>
      <c r="G27" s="13" t="s">
        <v>170</v>
      </c>
      <c r="H27" s="13" t="s">
        <v>170</v>
      </c>
      <c r="I27" s="13" t="s">
        <v>170</v>
      </c>
      <c r="J27" s="13" t="s">
        <v>170</v>
      </c>
      <c r="K27" s="13" t="s">
        <v>169</v>
      </c>
      <c r="L27" s="13" t="s">
        <v>169</v>
      </c>
      <c r="M27" s="13" t="s">
        <v>169</v>
      </c>
      <c r="N27" s="13" t="s">
        <v>169</v>
      </c>
      <c r="O27" s="13" t="s">
        <v>169</v>
      </c>
      <c r="P27" s="13" t="s">
        <v>169</v>
      </c>
      <c r="Q27" s="13" t="s">
        <v>169</v>
      </c>
      <c r="R27" s="13" t="s">
        <v>169</v>
      </c>
      <c r="S27" s="13" t="s">
        <v>169</v>
      </c>
    </row>
    <row r="28" spans="1:19" ht="30" customHeight="1" x14ac:dyDescent="0.25">
      <c r="A28" s="33" t="s">
        <v>103</v>
      </c>
      <c r="B28" s="17" t="s">
        <v>104</v>
      </c>
      <c r="C28" s="4">
        <f>_xlfn.XLOOKUP(B28,Lookups!G:G,Lookups!H:H,"",0,1)</f>
        <v>10</v>
      </c>
      <c r="D28" s="4" t="str">
        <f>_xlfn.XLOOKUP(C28,[1]Sheet2!$A$2:$A$11,[1]Sheet2!$B$2:$B$11,"Not found")</f>
        <v>Suggested Learning</v>
      </c>
      <c r="E28" s="4"/>
      <c r="F28" s="13" t="str">
        <f>_xlfn.XLOOKUP(B28,'Holiday Inn Express'!B:B,'Holiday Inn Express'!F:F,"",0,1)</f>
        <v>Self-paced Online Learning (5 Minutes).</v>
      </c>
      <c r="G28" s="13" t="s">
        <v>170</v>
      </c>
      <c r="H28" s="13" t="s">
        <v>170</v>
      </c>
      <c r="I28" s="13" t="s">
        <v>170</v>
      </c>
      <c r="J28" s="13" t="s">
        <v>170</v>
      </c>
      <c r="K28" s="13" t="s">
        <v>169</v>
      </c>
      <c r="L28" s="13" t="s">
        <v>169</v>
      </c>
      <c r="M28" s="13" t="s">
        <v>169</v>
      </c>
      <c r="N28" s="13" t="s">
        <v>169</v>
      </c>
      <c r="O28" s="13" t="s">
        <v>169</v>
      </c>
      <c r="P28" s="13" t="s">
        <v>169</v>
      </c>
      <c r="Q28" s="13" t="s">
        <v>169</v>
      </c>
      <c r="R28" s="13" t="s">
        <v>169</v>
      </c>
      <c r="S28" s="13" t="s">
        <v>169</v>
      </c>
    </row>
    <row r="29" spans="1:19" ht="30" customHeight="1" x14ac:dyDescent="0.25">
      <c r="A29" s="33" t="s">
        <v>105</v>
      </c>
      <c r="B29" s="17" t="s">
        <v>106</v>
      </c>
      <c r="C29" s="4">
        <f>_xlfn.XLOOKUP(B29,Lookups!G:G,Lookups!H:H,"",0,1)</f>
        <v>10</v>
      </c>
      <c r="D29" s="4" t="str">
        <f>_xlfn.XLOOKUP(C29,[1]Sheet2!$A$2:$A$11,[1]Sheet2!$B$2:$B$11,"Not found")</f>
        <v>Suggested Learning</v>
      </c>
      <c r="E29" s="4"/>
      <c r="F29" s="13" t="str">
        <f>_xlfn.XLOOKUP(B29,'Holiday Inn Express'!B:B,'Holiday Inn Express'!F:F,"",0,1)</f>
        <v>Self-paced Online Learning (25 Minutes).</v>
      </c>
      <c r="G29" s="13" t="s">
        <v>170</v>
      </c>
      <c r="H29" s="13" t="s">
        <v>170</v>
      </c>
      <c r="I29" s="13" t="s">
        <v>169</v>
      </c>
      <c r="J29" s="13" t="s">
        <v>169</v>
      </c>
      <c r="K29" s="13" t="s">
        <v>169</v>
      </c>
      <c r="L29" s="13" t="s">
        <v>169</v>
      </c>
      <c r="M29" s="13" t="s">
        <v>169</v>
      </c>
      <c r="N29" s="13" t="s">
        <v>169</v>
      </c>
      <c r="O29" s="13" t="s">
        <v>169</v>
      </c>
      <c r="P29" s="13" t="s">
        <v>169</v>
      </c>
      <c r="Q29" s="13" t="s">
        <v>169</v>
      </c>
      <c r="R29" s="13" t="s">
        <v>169</v>
      </c>
      <c r="S29" s="13" t="s">
        <v>169</v>
      </c>
    </row>
    <row r="30" spans="1:19" ht="30" customHeight="1" x14ac:dyDescent="0.25">
      <c r="A30" s="49" t="s">
        <v>250</v>
      </c>
      <c r="B30" s="32" t="s">
        <v>251</v>
      </c>
      <c r="C30" s="4">
        <v>5</v>
      </c>
      <c r="D30" s="4" t="s">
        <v>176</v>
      </c>
      <c r="E30" s="4"/>
      <c r="F30" s="13" t="str">
        <f>_xlfn.XLOOKUP(B30,'Holiday Inn Express'!B:B,'Holiday Inn Express'!F:F,"",0,1)</f>
        <v>Self-paced Online Learning (1 Hour 30 Minutes).</v>
      </c>
      <c r="G30" s="13" t="s">
        <v>170</v>
      </c>
      <c r="H30" s="13" t="s">
        <v>170</v>
      </c>
      <c r="I30" s="13" t="s">
        <v>169</v>
      </c>
      <c r="J30" s="13" t="s">
        <v>169</v>
      </c>
      <c r="K30" s="13" t="s">
        <v>169</v>
      </c>
      <c r="L30" s="13" t="s">
        <v>169</v>
      </c>
      <c r="M30" s="13" t="s">
        <v>169</v>
      </c>
      <c r="N30" s="13" t="s">
        <v>169</v>
      </c>
      <c r="O30" s="13" t="s">
        <v>169</v>
      </c>
      <c r="P30" s="13" t="s">
        <v>169</v>
      </c>
      <c r="Q30" s="13" t="s">
        <v>169</v>
      </c>
      <c r="R30" s="13" t="s">
        <v>169</v>
      </c>
      <c r="S30" s="13" t="s">
        <v>169</v>
      </c>
    </row>
    <row r="31" spans="1:19" ht="30" customHeight="1" x14ac:dyDescent="0.25">
      <c r="A31" s="33" t="s">
        <v>107</v>
      </c>
      <c r="B31" s="17" t="s">
        <v>108</v>
      </c>
      <c r="C31" s="4">
        <f>_xlfn.XLOOKUP(B31,Lookups!G:G,Lookups!H:H,"",0,1)</f>
        <v>10</v>
      </c>
      <c r="D31" s="4" t="str">
        <f>_xlfn.XLOOKUP(C31,[1]Sheet2!$A$2:$A$11,[1]Sheet2!$B$2:$B$11,"Not found")</f>
        <v>Suggested Learning</v>
      </c>
      <c r="E31" s="4"/>
      <c r="F31" s="13" t="str">
        <f>_xlfn.XLOOKUP(B31,'Holiday Inn Express'!B:B,'Holiday Inn Express'!F:F,"",0,1)</f>
        <v>Self-paced Online Learning.</v>
      </c>
      <c r="G31" s="13" t="s">
        <v>170</v>
      </c>
      <c r="H31" s="13" t="s">
        <v>170</v>
      </c>
      <c r="I31" s="13" t="s">
        <v>169</v>
      </c>
      <c r="J31" s="13" t="s">
        <v>169</v>
      </c>
      <c r="K31" s="13" t="s">
        <v>169</v>
      </c>
      <c r="L31" s="13" t="s">
        <v>169</v>
      </c>
      <c r="M31" s="13" t="s">
        <v>169</v>
      </c>
      <c r="N31" s="13" t="s">
        <v>169</v>
      </c>
      <c r="O31" s="13" t="s">
        <v>169</v>
      </c>
      <c r="P31" s="13" t="s">
        <v>169</v>
      </c>
      <c r="Q31" s="13" t="s">
        <v>169</v>
      </c>
      <c r="R31" s="13" t="s">
        <v>169</v>
      </c>
      <c r="S31" s="13" t="s">
        <v>169</v>
      </c>
    </row>
    <row r="32" spans="1:19" ht="30" customHeight="1" x14ac:dyDescent="0.25">
      <c r="A32" s="33" t="s">
        <v>109</v>
      </c>
      <c r="B32" s="12" t="s">
        <v>110</v>
      </c>
      <c r="C32" s="4">
        <f>_xlfn.XLOOKUP(B32,Lookups!G:G,Lookups!H:H,"",0,1)</f>
        <v>6</v>
      </c>
      <c r="D32" s="4" t="str">
        <f>_xlfn.XLOOKUP(C32,[1]Sheet2!$A$2:$A$11,[1]Sheet2!$B$2:$B$11,"Not found")</f>
        <v>within 120 days</v>
      </c>
      <c r="E32" s="4"/>
      <c r="F32" s="13" t="str">
        <f>_xlfn.XLOOKUP(B32,'Holiday Inn Express'!B:B,'Holiday Inn Express'!F:F,"",0,1)</f>
        <v>In-person Instructor Led Course (see available dates &amp; times by clicking the link below). Prerequisite:  Must Complete Sales Learning Pathway</v>
      </c>
      <c r="G32" s="13" t="s">
        <v>170</v>
      </c>
      <c r="H32" s="13" t="s">
        <v>170</v>
      </c>
      <c r="I32" s="13" t="s">
        <v>169</v>
      </c>
      <c r="J32" s="13" t="s">
        <v>169</v>
      </c>
      <c r="K32" s="13" t="s">
        <v>169</v>
      </c>
      <c r="L32" s="13" t="s">
        <v>169</v>
      </c>
      <c r="M32" s="13" t="s">
        <v>169</v>
      </c>
      <c r="N32" s="13" t="s">
        <v>169</v>
      </c>
      <c r="O32" s="13" t="s">
        <v>169</v>
      </c>
      <c r="P32" s="13" t="s">
        <v>169</v>
      </c>
      <c r="Q32" s="13" t="s">
        <v>169</v>
      </c>
      <c r="R32" s="13" t="s">
        <v>169</v>
      </c>
      <c r="S32" s="13" t="s">
        <v>169</v>
      </c>
    </row>
    <row r="33" spans="1:19" ht="30" customHeight="1" x14ac:dyDescent="0.25">
      <c r="A33" s="33" t="s">
        <v>111</v>
      </c>
      <c r="B33" s="17" t="s">
        <v>112</v>
      </c>
      <c r="C33" s="4">
        <f>_xlfn.XLOOKUP(B33,Lookups!G:G,Lookups!H:H,"",0,1)</f>
        <v>10</v>
      </c>
      <c r="D33" s="4" t="str">
        <f>_xlfn.XLOOKUP(C33,[1]Sheet2!$A$2:$A$11,[1]Sheet2!$B$2:$B$11,"Not found")</f>
        <v>Suggested Learning</v>
      </c>
      <c r="E33" s="4"/>
      <c r="F33" s="13" t="str">
        <f>_xlfn.XLOOKUP(B33,'Holiday Inn Express'!B:B,'Holiday Inn Express'!F:F,"",0,1)</f>
        <v>Self-paced Online Learning.</v>
      </c>
      <c r="G33" s="13" t="s">
        <v>170</v>
      </c>
      <c r="H33" s="13" t="s">
        <v>169</v>
      </c>
      <c r="I33" s="13" t="s">
        <v>170</v>
      </c>
      <c r="J33" s="13" t="s">
        <v>169</v>
      </c>
      <c r="K33" s="13" t="s">
        <v>169</v>
      </c>
      <c r="L33" s="13" t="s">
        <v>169</v>
      </c>
      <c r="M33" s="13" t="s">
        <v>169</v>
      </c>
      <c r="N33" s="13" t="s">
        <v>169</v>
      </c>
      <c r="O33" s="13" t="s">
        <v>169</v>
      </c>
      <c r="P33" s="13" t="s">
        <v>169</v>
      </c>
      <c r="Q33" s="13" t="s">
        <v>169</v>
      </c>
      <c r="R33" s="13" t="s">
        <v>169</v>
      </c>
      <c r="S33" s="13" t="s">
        <v>169</v>
      </c>
    </row>
    <row r="34" spans="1:19" ht="30" customHeight="1" x14ac:dyDescent="0.25">
      <c r="A34" s="33" t="s">
        <v>113</v>
      </c>
      <c r="B34" s="17" t="s">
        <v>114</v>
      </c>
      <c r="C34" s="4">
        <f>_xlfn.XLOOKUP(B34,Lookups!G:G,Lookups!H:H,"",0,1)</f>
        <v>10</v>
      </c>
      <c r="D34" s="4" t="str">
        <f>_xlfn.XLOOKUP(C34,[1]Sheet2!$A$2:$A$11,[1]Sheet2!$B$2:$B$11,"Not found")</f>
        <v>Suggested Learning</v>
      </c>
      <c r="E34" s="4"/>
      <c r="F34" s="13" t="str">
        <f>_xlfn.XLOOKUP(B34,'Holiday Inn Express'!B:B,'Holiday Inn Express'!F:F,"",0,1)</f>
        <v>Self-paced Online Learning.</v>
      </c>
      <c r="G34" s="13" t="s">
        <v>170</v>
      </c>
      <c r="H34" s="13" t="s">
        <v>169</v>
      </c>
      <c r="I34" s="13" t="s">
        <v>170</v>
      </c>
      <c r="J34" s="13" t="s">
        <v>169</v>
      </c>
      <c r="K34" s="13" t="s">
        <v>169</v>
      </c>
      <c r="L34" s="13" t="s">
        <v>169</v>
      </c>
      <c r="M34" s="13" t="s">
        <v>169</v>
      </c>
      <c r="N34" s="13" t="s">
        <v>169</v>
      </c>
      <c r="O34" s="13" t="s">
        <v>169</v>
      </c>
      <c r="P34" s="13" t="s">
        <v>169</v>
      </c>
      <c r="Q34" s="13" t="s">
        <v>169</v>
      </c>
      <c r="R34" s="13" t="s">
        <v>169</v>
      </c>
      <c r="S34" s="13" t="s">
        <v>169</v>
      </c>
    </row>
    <row r="35" spans="1:19" ht="30" customHeight="1" x14ac:dyDescent="0.25">
      <c r="A35" s="33" t="s">
        <v>115</v>
      </c>
      <c r="B35" s="17" t="s">
        <v>116</v>
      </c>
      <c r="C35" s="4">
        <f>_xlfn.XLOOKUP(B35,Lookups!G:G,Lookups!H:H,"",0,1)</f>
        <v>10</v>
      </c>
      <c r="D35" s="4" t="str">
        <f>_xlfn.XLOOKUP(C35,[1]Sheet2!$A$2:$A$11,[1]Sheet2!$B$2:$B$11,"Not found")</f>
        <v>Suggested Learning</v>
      </c>
      <c r="E35" s="4"/>
      <c r="F35" s="13" t="str">
        <f>_xlfn.XLOOKUP(B35,'Holiday Inn Express'!B:B,'Holiday Inn Express'!F:F,"",0,1)</f>
        <v>Self-paced Online Learning.</v>
      </c>
      <c r="G35" s="13" t="s">
        <v>170</v>
      </c>
      <c r="H35" s="13" t="s">
        <v>169</v>
      </c>
      <c r="I35" s="13" t="s">
        <v>170</v>
      </c>
      <c r="J35" s="13" t="s">
        <v>169</v>
      </c>
      <c r="K35" s="13" t="s">
        <v>169</v>
      </c>
      <c r="L35" s="13" t="s">
        <v>169</v>
      </c>
      <c r="M35" s="13" t="s">
        <v>169</v>
      </c>
      <c r="N35" s="13" t="s">
        <v>169</v>
      </c>
      <c r="O35" s="13" t="s">
        <v>169</v>
      </c>
      <c r="P35" s="13" t="s">
        <v>169</v>
      </c>
      <c r="Q35" s="13" t="s">
        <v>169</v>
      </c>
      <c r="R35" s="13" t="s">
        <v>169</v>
      </c>
      <c r="S35" s="13" t="s">
        <v>169</v>
      </c>
    </row>
    <row r="36" spans="1:19" ht="30" customHeight="1" x14ac:dyDescent="0.25">
      <c r="A36" s="33" t="s">
        <v>117</v>
      </c>
      <c r="B36" s="17" t="s">
        <v>118</v>
      </c>
      <c r="C36" s="4">
        <f>_xlfn.XLOOKUP(B36,Lookups!G:G,Lookups!H:H,"",0,1)</f>
        <v>10</v>
      </c>
      <c r="D36" s="4" t="str">
        <f>_xlfn.XLOOKUP(C36,[1]Sheet2!$A$2:$A$11,[1]Sheet2!$B$2:$B$11,"Not found")</f>
        <v>Suggested Learning</v>
      </c>
      <c r="E36" s="4"/>
      <c r="F36" s="13" t="str">
        <f>_xlfn.XLOOKUP(B36,'Holiday Inn Express'!B:B,'Holiday Inn Express'!F:F,"",0,1)</f>
        <v>Self-paced Online Learning.</v>
      </c>
      <c r="G36" s="13" t="s">
        <v>170</v>
      </c>
      <c r="H36" s="13" t="s">
        <v>169</v>
      </c>
      <c r="I36" s="13" t="s">
        <v>170</v>
      </c>
      <c r="J36" s="13" t="s">
        <v>169</v>
      </c>
      <c r="K36" s="13" t="s">
        <v>169</v>
      </c>
      <c r="L36" s="13" t="s">
        <v>169</v>
      </c>
      <c r="M36" s="13" t="s">
        <v>169</v>
      </c>
      <c r="N36" s="13" t="s">
        <v>169</v>
      </c>
      <c r="O36" s="13" t="s">
        <v>169</v>
      </c>
      <c r="P36" s="13" t="s">
        <v>169</v>
      </c>
      <c r="Q36" s="13" t="s">
        <v>169</v>
      </c>
      <c r="R36" s="13" t="s">
        <v>169</v>
      </c>
      <c r="S36" s="13" t="s">
        <v>169</v>
      </c>
    </row>
    <row r="37" spans="1:19" ht="30" customHeight="1" x14ac:dyDescent="0.25">
      <c r="A37" s="33" t="s">
        <v>119</v>
      </c>
      <c r="B37" s="17" t="s">
        <v>120</v>
      </c>
      <c r="C37" s="4">
        <f>_xlfn.XLOOKUP(B37,Lookups!G:G,Lookups!H:H,"",0,1)</f>
        <v>10</v>
      </c>
      <c r="D37" s="4" t="str">
        <f>_xlfn.XLOOKUP(C37,[1]Sheet2!$A$2:$A$11,[1]Sheet2!$B$2:$B$11,"Not found")</f>
        <v>Suggested Learning</v>
      </c>
      <c r="E37" s="4"/>
      <c r="F37" s="13" t="str">
        <f>_xlfn.XLOOKUP(B37,'Holiday Inn Express'!B:B,'Holiday Inn Express'!F:F,"",0,1)</f>
        <v>Self-paced Online Learning.</v>
      </c>
      <c r="G37" s="13" t="s">
        <v>170</v>
      </c>
      <c r="H37" s="13" t="s">
        <v>169</v>
      </c>
      <c r="I37" s="13" t="s">
        <v>170</v>
      </c>
      <c r="J37" s="13" t="s">
        <v>169</v>
      </c>
      <c r="K37" s="13" t="s">
        <v>169</v>
      </c>
      <c r="L37" s="13" t="s">
        <v>169</v>
      </c>
      <c r="M37" s="13" t="s">
        <v>169</v>
      </c>
      <c r="N37" s="13" t="s">
        <v>169</v>
      </c>
      <c r="O37" s="13" t="s">
        <v>169</v>
      </c>
      <c r="P37" s="13" t="s">
        <v>169</v>
      </c>
      <c r="Q37" s="13" t="s">
        <v>169</v>
      </c>
      <c r="R37" s="13" t="s">
        <v>169</v>
      </c>
      <c r="S37" s="13" t="s">
        <v>169</v>
      </c>
    </row>
    <row r="38" spans="1:19" ht="30" customHeight="1" x14ac:dyDescent="0.25">
      <c r="A38" s="33" t="s">
        <v>121</v>
      </c>
      <c r="B38" s="17" t="s">
        <v>307</v>
      </c>
      <c r="C38" s="4">
        <f>_xlfn.XLOOKUP(B38,Lookups!G:G,Lookups!H:H,"",0,1)</f>
        <v>10</v>
      </c>
      <c r="D38" s="4" t="str">
        <f>_xlfn.XLOOKUP(C38,[1]Sheet2!$A$2:$A$11,[1]Sheet2!$B$2:$B$11,"Not found")</f>
        <v>Suggested Learning</v>
      </c>
      <c r="E38" s="4"/>
      <c r="F38" s="13" t="str">
        <f>_xlfn.XLOOKUP(B38,'Holiday Inn Express'!B:B,'Holiday Inn Express'!F:F,"",0,1)</f>
        <v>Self-paced Online Learning.</v>
      </c>
      <c r="G38" s="13" t="s">
        <v>170</v>
      </c>
      <c r="H38" s="13" t="s">
        <v>169</v>
      </c>
      <c r="I38" s="13" t="s">
        <v>170</v>
      </c>
      <c r="J38" s="13" t="s">
        <v>169</v>
      </c>
      <c r="K38" s="13" t="s">
        <v>169</v>
      </c>
      <c r="L38" s="13" t="s">
        <v>169</v>
      </c>
      <c r="M38" s="13" t="s">
        <v>169</v>
      </c>
      <c r="N38" s="13" t="s">
        <v>169</v>
      </c>
      <c r="O38" s="13" t="s">
        <v>169</v>
      </c>
      <c r="P38" s="13" t="s">
        <v>169</v>
      </c>
      <c r="Q38" s="13" t="s">
        <v>169</v>
      </c>
      <c r="R38" s="13" t="s">
        <v>169</v>
      </c>
      <c r="S38" s="13" t="s">
        <v>169</v>
      </c>
    </row>
    <row r="39" spans="1:19" ht="30" customHeight="1" x14ac:dyDescent="0.25">
      <c r="A39" s="33" t="s">
        <v>122</v>
      </c>
      <c r="B39" s="17" t="s">
        <v>123</v>
      </c>
      <c r="C39" s="4">
        <f>_xlfn.XLOOKUP(B39,Lookups!G:G,Lookups!H:H,"",0,1)</f>
        <v>5</v>
      </c>
      <c r="D39" s="4" t="str">
        <f>_xlfn.XLOOKUP(C39,[1]Sheet2!$A$2:$A$11,[1]Sheet2!$B$2:$B$11,"Not found")</f>
        <v>within 90 days</v>
      </c>
      <c r="E39" s="4"/>
      <c r="F39" s="13" t="str">
        <f>_xlfn.XLOOKUP(B39,'Holiday Inn Express'!B:B,'Holiday Inn Express'!F:F,"",0,1)</f>
        <v/>
      </c>
      <c r="G39" s="13" t="s">
        <v>169</v>
      </c>
      <c r="H39" s="13" t="s">
        <v>169</v>
      </c>
      <c r="I39" s="13" t="s">
        <v>170</v>
      </c>
      <c r="J39" s="13" t="s">
        <v>169</v>
      </c>
      <c r="K39" s="13" t="s">
        <v>169</v>
      </c>
      <c r="L39" s="13" t="s">
        <v>169</v>
      </c>
      <c r="M39" s="13" t="s">
        <v>169</v>
      </c>
      <c r="N39" s="13" t="s">
        <v>169</v>
      </c>
      <c r="O39" s="13" t="s">
        <v>169</v>
      </c>
      <c r="P39" s="13" t="s">
        <v>169</v>
      </c>
      <c r="Q39" s="13" t="s">
        <v>169</v>
      </c>
      <c r="R39" s="13" t="s">
        <v>169</v>
      </c>
      <c r="S39" s="13" t="s">
        <v>169</v>
      </c>
    </row>
    <row r="40" spans="1:19" ht="30" customHeight="1" x14ac:dyDescent="0.25">
      <c r="A40" s="30" t="s">
        <v>124</v>
      </c>
      <c r="B40" s="8" t="s">
        <v>238</v>
      </c>
      <c r="C40" s="4">
        <v>7</v>
      </c>
      <c r="D40" s="4" t="s">
        <v>178</v>
      </c>
      <c r="E40" s="4"/>
      <c r="F40" s="13" t="str">
        <f>_xlfn.XLOOKUP(B40,'Holiday Inn Express'!B:B,'Holiday Inn Express'!F:F,"",0,1)</f>
        <v>Access to the system will automatically be given. For New Hotels - only to be completed after official hotel opening.</v>
      </c>
      <c r="G40" s="13" t="s">
        <v>170</v>
      </c>
      <c r="H40" s="13" t="s">
        <v>169</v>
      </c>
      <c r="I40" s="13" t="s">
        <v>169</v>
      </c>
      <c r="J40" s="13" t="s">
        <v>169</v>
      </c>
      <c r="K40" s="13" t="s">
        <v>169</v>
      </c>
      <c r="L40" s="13" t="s">
        <v>169</v>
      </c>
      <c r="M40" s="13" t="s">
        <v>169</v>
      </c>
      <c r="N40" s="13" t="s">
        <v>169</v>
      </c>
      <c r="O40" s="13" t="s">
        <v>169</v>
      </c>
      <c r="P40" s="13" t="s">
        <v>169</v>
      </c>
      <c r="Q40" s="13" t="s">
        <v>169</v>
      </c>
      <c r="R40" s="13" t="s">
        <v>169</v>
      </c>
      <c r="S40" s="13" t="s">
        <v>169</v>
      </c>
    </row>
    <row r="41" spans="1:19" ht="30" customHeight="1" x14ac:dyDescent="0.25">
      <c r="A41" s="30" t="s">
        <v>125</v>
      </c>
      <c r="B41" s="8" t="s">
        <v>239</v>
      </c>
      <c r="C41" s="4">
        <v>7</v>
      </c>
      <c r="D41" s="4" t="s">
        <v>178</v>
      </c>
      <c r="E41" s="4"/>
      <c r="F41" s="13" t="str">
        <f>_xlfn.XLOOKUP(B41,'Holiday Inn Express'!B:B,'Holiday Inn Express'!F:F,"",0,1)</f>
        <v>Prerequisite: Must complete Onboarding Learning Plan</v>
      </c>
      <c r="G41" s="13" t="s">
        <v>170</v>
      </c>
      <c r="H41" s="13" t="s">
        <v>169</v>
      </c>
      <c r="I41" s="13" t="s">
        <v>169</v>
      </c>
      <c r="J41" s="13" t="s">
        <v>169</v>
      </c>
      <c r="K41" s="13" t="s">
        <v>169</v>
      </c>
      <c r="L41" s="13" t="s">
        <v>169</v>
      </c>
      <c r="M41" s="13" t="s">
        <v>169</v>
      </c>
      <c r="N41" s="13" t="s">
        <v>169</v>
      </c>
      <c r="O41" s="13" t="s">
        <v>169</v>
      </c>
      <c r="P41" s="13" t="s">
        <v>169</v>
      </c>
      <c r="Q41" s="13" t="s">
        <v>169</v>
      </c>
      <c r="R41" s="13" t="s">
        <v>169</v>
      </c>
      <c r="S41" s="13" t="s">
        <v>169</v>
      </c>
    </row>
    <row r="42" spans="1:19" ht="30" customHeight="1" x14ac:dyDescent="0.25">
      <c r="A42" s="30" t="s">
        <v>147</v>
      </c>
      <c r="B42" s="31" t="s">
        <v>134</v>
      </c>
      <c r="C42" s="4">
        <f>_xlfn.XLOOKUP(B42,Lookups!G:G,Lookups!H:H,"",0,1)</f>
        <v>10</v>
      </c>
      <c r="D42" s="4" t="str">
        <f>_xlfn.XLOOKUP(C42,[1]Sheet2!$A$2:$A$11,[1]Sheet2!$B$2:$B$11,"Not found")</f>
        <v>Suggested Learning</v>
      </c>
      <c r="E42" s="4"/>
      <c r="F42" s="13" t="str">
        <f>_xlfn.XLOOKUP(B42,voco!B:B,voco!F:F,"",0,1)</f>
        <v>Self-paced Online Learning (15 Minutes).</v>
      </c>
      <c r="G42" s="18" t="s">
        <v>169</v>
      </c>
      <c r="H42" s="18" t="s">
        <v>169</v>
      </c>
      <c r="I42" s="18" t="s">
        <v>169</v>
      </c>
      <c r="J42" s="18" t="s">
        <v>169</v>
      </c>
      <c r="K42" s="18" t="s">
        <v>169</v>
      </c>
      <c r="L42" s="11" t="s">
        <v>170</v>
      </c>
      <c r="M42" s="18" t="s">
        <v>169</v>
      </c>
      <c r="N42" s="18" t="s">
        <v>169</v>
      </c>
      <c r="O42" s="18" t="s">
        <v>169</v>
      </c>
      <c r="P42" s="11" t="s">
        <v>170</v>
      </c>
      <c r="Q42" s="18" t="s">
        <v>169</v>
      </c>
      <c r="R42" s="18" t="s">
        <v>169</v>
      </c>
      <c r="S42" s="18" t="s">
        <v>169</v>
      </c>
    </row>
    <row r="43" spans="1:19" ht="30" customHeight="1" x14ac:dyDescent="0.25">
      <c r="A43" s="30" t="s">
        <v>148</v>
      </c>
      <c r="B43" s="31" t="s">
        <v>136</v>
      </c>
      <c r="C43" s="4">
        <f>_xlfn.XLOOKUP(B43,Lookups!G:G,Lookups!H:H,"",0,1)</f>
        <v>10</v>
      </c>
      <c r="D43" s="4" t="str">
        <f>_xlfn.XLOOKUP(C43,[1]Sheet2!$A$2:$A$11,[1]Sheet2!$B$2:$B$11,"Not found")</f>
        <v>Suggested Learning</v>
      </c>
      <c r="E43" s="4"/>
      <c r="F43" s="13" t="str">
        <f>_xlfn.XLOOKUP(B43,voco!B:B,voco!F:F,"",0,1)</f>
        <v>Self-paced Online Learning (15 Minutes).</v>
      </c>
      <c r="G43" s="18" t="s">
        <v>169</v>
      </c>
      <c r="H43" s="18" t="s">
        <v>169</v>
      </c>
      <c r="I43" s="18" t="s">
        <v>169</v>
      </c>
      <c r="J43" s="18" t="s">
        <v>169</v>
      </c>
      <c r="K43" s="18" t="s">
        <v>169</v>
      </c>
      <c r="L43" s="11" t="s">
        <v>170</v>
      </c>
      <c r="M43" s="18" t="s">
        <v>169</v>
      </c>
      <c r="N43" s="18" t="s">
        <v>169</v>
      </c>
      <c r="O43" s="18" t="s">
        <v>169</v>
      </c>
      <c r="P43" s="11" t="s">
        <v>170</v>
      </c>
      <c r="Q43" s="18" t="s">
        <v>169</v>
      </c>
      <c r="R43" s="18" t="s">
        <v>169</v>
      </c>
      <c r="S43" s="18" t="s">
        <v>169</v>
      </c>
    </row>
    <row r="44" spans="1:19" ht="30" customHeight="1" x14ac:dyDescent="0.25">
      <c r="A44" s="30" t="s">
        <v>149</v>
      </c>
      <c r="B44" s="31" t="s">
        <v>138</v>
      </c>
      <c r="C44" s="4">
        <f>_xlfn.XLOOKUP(B44,Lookups!G:G,Lookups!H:H,"",0,1)</f>
        <v>10</v>
      </c>
      <c r="D44" s="4" t="str">
        <f>_xlfn.XLOOKUP(C44,[1]Sheet2!$A$2:$A$11,[1]Sheet2!$B$2:$B$11,"Not found")</f>
        <v>Suggested Learning</v>
      </c>
      <c r="E44" s="4"/>
      <c r="F44" s="13" t="str">
        <f>_xlfn.XLOOKUP(B44,voco!B:B,voco!F:F,"",0,1)</f>
        <v>Self-paced Online Learning.</v>
      </c>
      <c r="G44" s="18" t="s">
        <v>169</v>
      </c>
      <c r="H44" s="18" t="s">
        <v>169</v>
      </c>
      <c r="I44" s="18" t="s">
        <v>169</v>
      </c>
      <c r="J44" s="18" t="s">
        <v>169</v>
      </c>
      <c r="K44" s="18" t="s">
        <v>169</v>
      </c>
      <c r="L44" s="11" t="s">
        <v>170</v>
      </c>
      <c r="M44" s="18" t="s">
        <v>169</v>
      </c>
      <c r="N44" s="18" t="s">
        <v>169</v>
      </c>
      <c r="O44" s="18" t="s">
        <v>169</v>
      </c>
      <c r="P44" s="11" t="s">
        <v>170</v>
      </c>
      <c r="Q44" s="18" t="s">
        <v>169</v>
      </c>
      <c r="R44" s="18" t="s">
        <v>169</v>
      </c>
      <c r="S44" s="18" t="s">
        <v>169</v>
      </c>
    </row>
    <row r="45" spans="1:19" ht="30" customHeight="1" x14ac:dyDescent="0.25">
      <c r="A45" s="30" t="s">
        <v>150</v>
      </c>
      <c r="B45" s="31" t="s">
        <v>151</v>
      </c>
      <c r="C45" s="4">
        <f>_xlfn.XLOOKUP(B45,Lookups!G:G,Lookups!H:H,"",0,1)</f>
        <v>10</v>
      </c>
      <c r="D45" s="4" t="str">
        <f>_xlfn.XLOOKUP(C45,[1]Sheet2!$A$2:$A$11,[1]Sheet2!$B$2:$B$11,"Not found")</f>
        <v>Suggested Learning</v>
      </c>
      <c r="E45" s="4"/>
      <c r="F45" s="13" t="str">
        <f>_xlfn.XLOOKUP(B45,voco!B:B,voco!F:F,"",0,1)</f>
        <v>Self-paced Online Learning (30 Minutes).</v>
      </c>
      <c r="G45" s="18" t="s">
        <v>169</v>
      </c>
      <c r="H45" s="18" t="s">
        <v>169</v>
      </c>
      <c r="I45" s="18" t="s">
        <v>169</v>
      </c>
      <c r="J45" s="18" t="s">
        <v>169</v>
      </c>
      <c r="K45" s="18" t="s">
        <v>169</v>
      </c>
      <c r="L45" s="11" t="s">
        <v>170</v>
      </c>
      <c r="M45" s="18" t="s">
        <v>169</v>
      </c>
      <c r="N45" s="18" t="s">
        <v>169</v>
      </c>
      <c r="O45" s="18" t="s">
        <v>169</v>
      </c>
      <c r="P45" s="11" t="s">
        <v>170</v>
      </c>
      <c r="Q45" s="18" t="s">
        <v>169</v>
      </c>
      <c r="R45" s="18" t="s">
        <v>169</v>
      </c>
      <c r="S45" s="18" t="s">
        <v>169</v>
      </c>
    </row>
    <row r="46" spans="1:19" ht="30" customHeight="1" x14ac:dyDescent="0.25">
      <c r="A46" s="33" t="s">
        <v>127</v>
      </c>
      <c r="B46" s="13" t="s">
        <v>128</v>
      </c>
      <c r="C46" s="4">
        <f>_xlfn.XLOOKUP(B46,Lookups!G:G,Lookups!H:H,"",0,1)</f>
        <v>10</v>
      </c>
      <c r="D46" s="4" t="str">
        <f>_xlfn.XLOOKUP(C46,[1]Sheet2!$A$2:$A$11,[1]Sheet2!$B$2:$B$11,"Not found")</f>
        <v>Suggested Learning</v>
      </c>
      <c r="E46" s="4"/>
      <c r="F46" s="13" t="str">
        <f>_xlfn.XLOOKUP(B46,'Holiday Inn Express'!B:B,'Holiday Inn Express'!F:F,"",0,1)</f>
        <v>Self-paced Online Learning (25 Minutes).</v>
      </c>
      <c r="G46" s="18" t="s">
        <v>170</v>
      </c>
      <c r="H46" s="18" t="s">
        <v>169</v>
      </c>
      <c r="I46" s="18" t="s">
        <v>169</v>
      </c>
      <c r="J46" s="18" t="s">
        <v>169</v>
      </c>
      <c r="K46" s="18" t="s">
        <v>169</v>
      </c>
      <c r="L46" s="11" t="s">
        <v>170</v>
      </c>
      <c r="M46" s="18" t="s">
        <v>169</v>
      </c>
      <c r="N46" s="18" t="s">
        <v>169</v>
      </c>
      <c r="O46" s="18" t="s">
        <v>169</v>
      </c>
      <c r="P46" s="18" t="s">
        <v>169</v>
      </c>
      <c r="Q46" s="18" t="s">
        <v>169</v>
      </c>
      <c r="R46" s="18" t="s">
        <v>169</v>
      </c>
      <c r="S46" s="18" t="s">
        <v>169</v>
      </c>
    </row>
    <row r="47" spans="1:19" ht="30" customHeight="1" x14ac:dyDescent="0.25">
      <c r="A47" s="30" t="s">
        <v>129</v>
      </c>
      <c r="B47" s="17" t="s">
        <v>130</v>
      </c>
      <c r="C47" s="4">
        <f>_xlfn.XLOOKUP(B47,Lookups!G:G,Lookups!H:H,"",0,1)</f>
        <v>10</v>
      </c>
      <c r="D47" s="4" t="str">
        <f>_xlfn.XLOOKUP(C47,[1]Sheet2!$A$2:$A$11,[1]Sheet2!$B$2:$B$11,"Not found")</f>
        <v>Suggested Learning</v>
      </c>
      <c r="E47" s="4"/>
      <c r="F47" s="13" t="str">
        <f>_xlfn.XLOOKUP(B47,'Holiday Inn Express'!B:B,'Holiday Inn Express'!F:F,"",0,1)</f>
        <v>Self-paced Online Learning (25 Minutes).</v>
      </c>
      <c r="G47" s="18" t="s">
        <v>169</v>
      </c>
      <c r="H47" s="18" t="s">
        <v>169</v>
      </c>
      <c r="I47" s="18" t="s">
        <v>169</v>
      </c>
      <c r="J47" s="18" t="s">
        <v>169</v>
      </c>
      <c r="K47" s="18" t="s">
        <v>169</v>
      </c>
      <c r="L47" s="18" t="s">
        <v>169</v>
      </c>
      <c r="M47" s="18" t="s">
        <v>169</v>
      </c>
      <c r="N47" s="18" t="s">
        <v>169</v>
      </c>
      <c r="O47" s="18" t="s">
        <v>169</v>
      </c>
      <c r="P47" s="11" t="s">
        <v>170</v>
      </c>
      <c r="Q47" s="18" t="s">
        <v>169</v>
      </c>
      <c r="R47" s="18" t="s">
        <v>169</v>
      </c>
      <c r="S47" s="18" t="s">
        <v>169</v>
      </c>
    </row>
    <row r="48" spans="1:19" ht="30" customHeight="1" x14ac:dyDescent="0.25">
      <c r="A48" s="33" t="s">
        <v>133</v>
      </c>
      <c r="B48" s="12" t="s">
        <v>134</v>
      </c>
      <c r="C48" s="4">
        <f>_xlfn.XLOOKUP(B48,Lookups!G:G,Lookups!H:H,"",0,1)</f>
        <v>10</v>
      </c>
      <c r="D48" s="4" t="str">
        <f>_xlfn.XLOOKUP(C48,[1]Sheet2!$A$2:$A$11,[1]Sheet2!$B$2:$B$11,"Not found")</f>
        <v>Suggested Learning</v>
      </c>
      <c r="E48" s="7"/>
      <c r="F48" s="13" t="str">
        <f>_xlfn.XLOOKUP(B48,voco!B:B,voco!F:F,"",0,1)</f>
        <v>Self-paced Online Learning (15 Minutes).</v>
      </c>
      <c r="G48" s="18" t="s">
        <v>169</v>
      </c>
      <c r="H48" s="18" t="s">
        <v>169</v>
      </c>
      <c r="I48" s="18" t="s">
        <v>169</v>
      </c>
      <c r="J48" s="18" t="s">
        <v>169</v>
      </c>
      <c r="K48" s="18" t="s">
        <v>169</v>
      </c>
      <c r="L48" s="11" t="s">
        <v>170</v>
      </c>
      <c r="M48" s="18" t="s">
        <v>169</v>
      </c>
      <c r="N48" s="18" t="s">
        <v>169</v>
      </c>
      <c r="O48" s="18" t="s">
        <v>169</v>
      </c>
      <c r="P48" s="11" t="s">
        <v>170</v>
      </c>
      <c r="Q48" s="18" t="s">
        <v>169</v>
      </c>
      <c r="R48" s="18" t="s">
        <v>169</v>
      </c>
      <c r="S48" s="18" t="s">
        <v>169</v>
      </c>
    </row>
    <row r="49" spans="1:19" ht="30" customHeight="1" x14ac:dyDescent="0.25">
      <c r="A49" s="34" t="s">
        <v>135</v>
      </c>
      <c r="B49" s="17" t="s">
        <v>136</v>
      </c>
      <c r="C49" s="4">
        <f>_xlfn.XLOOKUP(B49,Lookups!G:G,Lookups!H:H,"",0,1)</f>
        <v>10</v>
      </c>
      <c r="D49" s="4" t="str">
        <f>_xlfn.XLOOKUP(C49,[1]Sheet2!$A$2:$A$11,[1]Sheet2!$B$2:$B$11,"Not found")</f>
        <v>Suggested Learning</v>
      </c>
      <c r="E49" s="7"/>
      <c r="F49" s="13" t="str">
        <f>_xlfn.XLOOKUP(B49,voco!B:B,voco!F:F,"",0,1)</f>
        <v>Self-paced Online Learning (15 Minutes).</v>
      </c>
      <c r="G49" s="18" t="s">
        <v>169</v>
      </c>
      <c r="H49" s="18" t="s">
        <v>169</v>
      </c>
      <c r="I49" s="18" t="s">
        <v>169</v>
      </c>
      <c r="J49" s="18" t="s">
        <v>169</v>
      </c>
      <c r="K49" s="18" t="s">
        <v>169</v>
      </c>
      <c r="L49" s="11" t="s">
        <v>170</v>
      </c>
      <c r="M49" s="18" t="s">
        <v>169</v>
      </c>
      <c r="N49" s="18" t="s">
        <v>169</v>
      </c>
      <c r="O49" s="18" t="s">
        <v>169</v>
      </c>
      <c r="P49" s="11" t="s">
        <v>170</v>
      </c>
      <c r="Q49" s="18" t="s">
        <v>169</v>
      </c>
      <c r="R49" s="18" t="s">
        <v>169</v>
      </c>
      <c r="S49" s="18" t="s">
        <v>169</v>
      </c>
    </row>
    <row r="50" spans="1:19" ht="30" customHeight="1" x14ac:dyDescent="0.25">
      <c r="A50" s="34" t="s">
        <v>137</v>
      </c>
      <c r="B50" s="17" t="s">
        <v>138</v>
      </c>
      <c r="C50" s="4">
        <f>_xlfn.XLOOKUP(B50,Lookups!G:G,Lookups!H:H,"",0,1)</f>
        <v>10</v>
      </c>
      <c r="D50" s="4" t="str">
        <f>_xlfn.XLOOKUP(C50,[1]Sheet2!$A$2:$A$11,[1]Sheet2!$B$2:$B$11,"Not found")</f>
        <v>Suggested Learning</v>
      </c>
      <c r="E50" s="7"/>
      <c r="F50" s="13" t="str">
        <f>_xlfn.XLOOKUP(B50,voco!B:B,voco!F:F,"",0,1)</f>
        <v>Self-paced Online Learning.</v>
      </c>
      <c r="G50" s="18" t="s">
        <v>169</v>
      </c>
      <c r="H50" s="18" t="s">
        <v>169</v>
      </c>
      <c r="I50" s="18" t="s">
        <v>169</v>
      </c>
      <c r="J50" s="18" t="s">
        <v>169</v>
      </c>
      <c r="K50" s="18" t="s">
        <v>169</v>
      </c>
      <c r="L50" s="11" t="s">
        <v>170</v>
      </c>
      <c r="M50" s="18" t="s">
        <v>169</v>
      </c>
      <c r="N50" s="18" t="s">
        <v>169</v>
      </c>
      <c r="O50" s="18" t="s">
        <v>169</v>
      </c>
      <c r="P50" s="11" t="s">
        <v>170</v>
      </c>
      <c r="Q50" s="18" t="s">
        <v>169</v>
      </c>
      <c r="R50" s="18" t="s">
        <v>169</v>
      </c>
      <c r="S50" s="18" t="s">
        <v>169</v>
      </c>
    </row>
    <row r="51" spans="1:19" ht="30" customHeight="1" x14ac:dyDescent="0.25">
      <c r="A51" s="34" t="s">
        <v>152</v>
      </c>
      <c r="B51" s="17" t="s">
        <v>151</v>
      </c>
      <c r="C51" s="4">
        <f>_xlfn.XLOOKUP(B51,Lookups!G:G,Lookups!H:H,"",0,1)</f>
        <v>10</v>
      </c>
      <c r="D51" s="4" t="str">
        <f>_xlfn.XLOOKUP(C51,[1]Sheet2!$A$2:$A$11,[1]Sheet2!$B$2:$B$11,"Not found")</f>
        <v>Suggested Learning</v>
      </c>
      <c r="E51" s="7"/>
      <c r="F51" s="13" t="str">
        <f>_xlfn.XLOOKUP(B51,voco!B:B,voco!F:F,"",0,1)</f>
        <v>Self-paced Online Learning (30 Minutes).</v>
      </c>
      <c r="G51" s="18" t="s">
        <v>169</v>
      </c>
      <c r="H51" s="18" t="s">
        <v>169</v>
      </c>
      <c r="I51" s="18" t="s">
        <v>169</v>
      </c>
      <c r="J51" s="18" t="s">
        <v>169</v>
      </c>
      <c r="K51" s="18" t="s">
        <v>169</v>
      </c>
      <c r="L51" s="11" t="s">
        <v>170</v>
      </c>
      <c r="M51" s="18" t="s">
        <v>169</v>
      </c>
      <c r="N51" s="18" t="s">
        <v>169</v>
      </c>
      <c r="O51" s="18" t="s">
        <v>169</v>
      </c>
      <c r="P51" s="11" t="s">
        <v>170</v>
      </c>
      <c r="Q51" s="18" t="s">
        <v>169</v>
      </c>
      <c r="R51" s="18" t="s">
        <v>169</v>
      </c>
      <c r="S51" s="18" t="s">
        <v>169</v>
      </c>
    </row>
  </sheetData>
  <hyperlinks>
    <hyperlink ref="B2" r:id="rId1" display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xr:uid="{EA7DA930-F121-49CA-A384-92FDFB93575C}"/>
    <hyperlink ref="B12" r:id="rId2" display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xr:uid="{17793178-0C02-4478-ACC7-D05D5EA1B31F}"/>
    <hyperlink ref="B10" r:id="rId3" display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xr:uid="{D4014644-64BC-4206-BC19-A02711FD7916}"/>
    <hyperlink ref="B32" r:id="rId4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B8128848-4C1E-41A4-8BF5-38B444DF05EB}"/>
    <hyperlink ref="B13" r:id="rId5" xr:uid="{08985AA6-48B0-4EF4-98FF-F8630E254633}"/>
    <hyperlink ref="B15" r:id="rId6" xr:uid="{1891EE80-15AA-41D3-9C9C-923C92898C92}"/>
    <hyperlink ref="B16" r:id="rId7" xr:uid="{0084315D-2B35-4D10-A162-566E00DEBB6F}"/>
    <hyperlink ref="B17" r:id="rId8" xr:uid="{F3849436-9FE9-4616-9125-720BAE66EB16}"/>
    <hyperlink ref="B18" r:id="rId9" xr:uid="{E1338822-855F-4296-887F-1422862F8AC2}"/>
    <hyperlink ref="B19" r:id="rId10" xr:uid="{FBE517C0-CCCE-4B8B-BA18-6CB0F6DCFB8E}"/>
    <hyperlink ref="B28" r:id="rId11" xr:uid="{EBA71703-5B51-42CB-AFD8-0F43E68B34F3}"/>
    <hyperlink ref="B27" r:id="rId12" xr:uid="{8891F10E-1B2F-469D-822B-31C60D3618D2}"/>
    <hyperlink ref="B26" r:id="rId13" xr:uid="{369B666B-4EBB-4FBF-8B36-D17197D7B81B}"/>
    <hyperlink ref="B25" r:id="rId14" xr:uid="{CF99B7C7-BBC9-4C08-8F02-6DD3906F348B}"/>
    <hyperlink ref="B24" r:id="rId15" xr:uid="{912DC581-25C9-4023-A7CD-ECED5E606977}"/>
    <hyperlink ref="B23" r:id="rId16" xr:uid="{9BEE3935-D7C9-4F6B-A753-2304FE2442A7}"/>
    <hyperlink ref="B22" r:id="rId17" xr:uid="{A9CD4D78-264E-4802-8106-BB24E249A509}"/>
    <hyperlink ref="B29" r:id="rId18" xr:uid="{F57FC0E5-F18B-4712-AB1E-2DD91201CC98}"/>
    <hyperlink ref="B31" r:id="rId19" xr:uid="{7A14BA72-6284-4431-937D-4C3811E8683D}"/>
    <hyperlink ref="B33" r:id="rId20" xr:uid="{B2D70C70-8755-4781-AF07-B845C202BEBE}"/>
    <hyperlink ref="B34" r:id="rId21" xr:uid="{D7F0A4A0-11D1-4517-8AB4-E878653B5D4A}"/>
    <hyperlink ref="B14" r:id="rId22" xr:uid="{2D92081C-A6BE-4E37-BACD-5C9625896642}"/>
    <hyperlink ref="B39" r:id="rId23" xr:uid="{9F381F52-7AF6-47DA-BDF3-7096897F7DD9}"/>
    <hyperlink ref="B35" r:id="rId24" xr:uid="{D5B1AF4E-DB6A-44B3-A44F-81E19FA10940}"/>
    <hyperlink ref="B36" r:id="rId25" xr:uid="{CF5708CB-3A0F-43A2-8FA4-3F3454F8AA1B}"/>
    <hyperlink ref="B37" r:id="rId26" xr:uid="{F49C8214-CC23-4160-BBF3-85EB592DE4B0}"/>
    <hyperlink ref="B42" r:id="rId27" xr:uid="{D4D61DBC-5935-4AFD-A042-27207DD25911}"/>
    <hyperlink ref="B43" r:id="rId28" xr:uid="{2FBFD48A-0D2A-4122-BF3E-DF4525F9CFA9}"/>
    <hyperlink ref="B44" r:id="rId29" xr:uid="{A41C8ED4-3FE2-4746-AD94-10AB3A672865}"/>
    <hyperlink ref="B45" r:id="rId30" xr:uid="{B1031242-5C3A-4514-9450-6DF91C09016B}"/>
    <hyperlink ref="B46" r:id="rId31" xr:uid="{C9E4152A-F90E-4B03-9B82-B7994E51F348}"/>
    <hyperlink ref="B47" r:id="rId32" xr:uid="{18159EC7-5C03-4BEC-99BE-0F76A22AF9FD}"/>
    <hyperlink ref="B48" r:id="rId33" xr:uid="{485A9E19-D675-4612-9738-46D918131774}"/>
    <hyperlink ref="B49" r:id="rId34" xr:uid="{9961C286-80DA-40AB-BCAD-E1909E1C9715}"/>
    <hyperlink ref="B50" r:id="rId35" xr:uid="{9AD11D91-1655-4035-A7BB-3A35F110C741}"/>
    <hyperlink ref="B51" r:id="rId36" xr:uid="{0250EE19-A63D-4259-BF1E-85BF0E8B2DDF}"/>
    <hyperlink ref="B20" r:id="rId37" xr:uid="{35C95E5D-ADD4-4E12-800A-32DCDA8604BB}"/>
    <hyperlink ref="B21" r:id="rId38" xr:uid="{4D6C19BB-9501-4941-825E-64976A0C4D59}"/>
    <hyperlink ref="B40" r:id="rId39" xr:uid="{BA0B33BE-5B13-48F9-A0A9-158D641A1FF2}"/>
    <hyperlink ref="B41" r:id="rId40" xr:uid="{2072B94A-1E83-4728-894D-64A4F199082A}"/>
    <hyperlink ref="B11" r:id="rId41" xr:uid="{52F0FF90-213E-4C9F-8F78-716F933BB931}"/>
    <hyperlink ref="B30" r:id="rId42" xr:uid="{CB34244F-0ACD-4E76-B4AD-2CC62C4F7682}"/>
    <hyperlink ref="B3" r:id="rId43" display="https://mylearning.sumtotal.host/rcore/c/pillarRedirect?isDeepLink=1&amp;relyingParty=LM&amp;url=https%3A%2F%2Fmylearning.sumtotal.host%2Flearning%2Fcore%2Factivitydetails%2FViewActivityDetails%3FUserMode%3D0%26ActivityId%3D14835%26ClassUnderStruct%3DFalse%26CallerUrl%3D%2Flearning%2Flearner%2FHome%2FGoToPortal%3Fkey%3D0%26SearchCallerURL%3Dhttps%253A%252F%252Fmylearning.sumtotal.host%252Fcore%252FsearchRedirect%253FViewType%253DList%2526SearchText%253Dhotel%25252520indigo%25252520brand%25252520orientation%2526startRow%253D0%26SearchCallerID%3D2" xr:uid="{76371A80-F8D8-4D56-B684-B0AC85A359ED}"/>
    <hyperlink ref="B4" r:id="rId44" display="https://mylearning.sumtotal.host/rcore/c/pillarRedirect?isDeepLink=1&amp;relyingParty=LM&amp;url=https%3A%2F%2Fmylearning.sumtotal.host%2Flearning%2Fcore%2Factivitydetails%2FViewActivityDetails%3FUserMode%3D0%26ActivityId%3D14870%26ClassUnderStruct%3DFalse%26CallerUrl%3D%2Flearning%2Flearner%2FHome%2FGoToPortal%3Fkey%3D0%26SearchCallerURL%3Dhttps%253A%252F%252Fmylearning.sumtotal.host%252Fcore%252FsearchRedirect%253FViewType%253DList%2526SearchText%253Dbrand%25252520experience%2526startRow%253D0%26SearchCallerID%3D2" xr:uid="{442F59C3-8277-4557-819C-584BFAE0D861}"/>
    <hyperlink ref="B9" r:id="rId45" display="Hotel Experience Champion Guide" xr:uid="{720219D6-A5F5-473F-BF08-ADFCDE429597}"/>
    <hyperlink ref="B5" r:id="rId46" display="Managed Hotel - Leaders Guide" xr:uid="{6C80EF77-7981-43BB-8FE5-4DED0711FD03}"/>
    <hyperlink ref="B6" r:id="rId47" xr:uid="{ED4EEF72-9604-458F-9BB0-05CA90BC5A35}"/>
    <hyperlink ref="B7" r:id="rId48" xr:uid="{BCF33DE3-ECDA-4CD4-AE1A-D48F5153A59A}"/>
    <hyperlink ref="B8" r:id="rId49" xr:uid="{FF3ACAF7-F14E-4A88-8E92-3339B3F705B4}"/>
    <hyperlink ref="B38" r:id="rId50" display="IHG53503" xr:uid="{BB185132-9A20-4DD7-A9E0-43E43619335D}"/>
  </hyperlinks>
  <pageMargins left="0.7" right="0.7" top="0.75" bottom="0.75" header="0.3" footer="0.3"/>
  <pageSetup paperSize="17" orientation="portrait" r:id="rId5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DBE0B-73B2-44FE-9148-2AB25DF0CBEF}">
  <sheetPr codeName="Sheet14">
    <tabColor rgb="FF2E273B"/>
  </sheetPr>
  <dimension ref="A1:X47"/>
  <sheetViews>
    <sheetView zoomScale="85" zoomScaleNormal="85" workbookViewId="0">
      <pane ySplit="1" topLeftCell="A32" activePane="bottomLeft" state="frozen"/>
      <selection activeCell="B1" sqref="B1:B1048576"/>
      <selection pane="bottomLeft" activeCell="B1" sqref="B1:B1048576"/>
    </sheetView>
  </sheetViews>
  <sheetFormatPr defaultRowHeight="30" customHeight="1" x14ac:dyDescent="0.25"/>
  <cols>
    <col min="1" max="1" width="48.7109375" style="76" customWidth="1"/>
    <col min="2" max="2" width="16.7109375" style="78" customWidth="1"/>
    <col min="3" max="5" width="22.7109375" style="9" customWidth="1"/>
    <col min="6" max="6" width="31.7109375" style="78" customWidth="1"/>
    <col min="7" max="19" width="19.5703125" style="28" customWidth="1"/>
    <col min="20" max="24" width="9.140625" style="28"/>
    <col min="25" max="16384" width="9.140625" style="24"/>
  </cols>
  <sheetData>
    <row r="1" spans="1:19" ht="30" customHeight="1" x14ac:dyDescent="0.25">
      <c r="A1" s="33" t="s">
        <v>185</v>
      </c>
      <c r="B1" s="13" t="s">
        <v>50</v>
      </c>
      <c r="C1" s="4" t="s">
        <v>182</v>
      </c>
      <c r="D1" s="4" t="s">
        <v>183</v>
      </c>
      <c r="E1" s="4" t="s">
        <v>184</v>
      </c>
      <c r="F1" s="13" t="s">
        <v>51</v>
      </c>
      <c r="G1" s="13" t="s">
        <v>52</v>
      </c>
      <c r="H1" s="13" t="s">
        <v>53</v>
      </c>
      <c r="I1" s="13" t="s">
        <v>54</v>
      </c>
      <c r="J1" s="13" t="s">
        <v>55</v>
      </c>
      <c r="K1" s="13" t="s">
        <v>56</v>
      </c>
      <c r="L1" s="13" t="s">
        <v>57</v>
      </c>
      <c r="M1" s="13" t="s">
        <v>58</v>
      </c>
      <c r="N1" s="13" t="s">
        <v>59</v>
      </c>
      <c r="O1" s="13" t="s">
        <v>60</v>
      </c>
      <c r="P1" s="13" t="s">
        <v>61</v>
      </c>
      <c r="Q1" s="13" t="s">
        <v>62</v>
      </c>
      <c r="R1" s="13" t="s">
        <v>63</v>
      </c>
      <c r="S1" s="13" t="s">
        <v>64</v>
      </c>
    </row>
    <row r="2" spans="1:19" ht="30" customHeight="1" x14ac:dyDescent="0.25">
      <c r="A2" s="30" t="s">
        <v>65</v>
      </c>
      <c r="B2" s="12" t="s">
        <v>66</v>
      </c>
      <c r="C2" s="4">
        <f>_xlfn.XLOOKUP(B2,Lookups!G:G,Lookups!H:H,"",0,1)</f>
        <v>3</v>
      </c>
      <c r="D2" s="4" t="str">
        <f>_xlfn.XLOOKUP(C2,[1]Sheet2!$A$2:$A$11,[1]Sheet2!$B$2:$B$11,"Not found")</f>
        <v>within 30 days</v>
      </c>
      <c r="E2" s="4"/>
      <c r="F2" s="13" t="str">
        <f>_xlfn.XLOOKUP(B2,'Holiday Inn Express'!B:B,'Holiday Inn Express'!F:F,"",0,1)</f>
        <v xml:space="preserve">Self-paced Online Learning (1 Hour 15 Minutes). Hotel-led in-person training (On-Job-Training, OJT) is permitted &amp; completions must be tracked in myLearning. </v>
      </c>
      <c r="G2" s="13" t="s">
        <v>170</v>
      </c>
      <c r="H2" s="13" t="s">
        <v>170</v>
      </c>
      <c r="I2" s="13" t="s">
        <v>170</v>
      </c>
      <c r="J2" s="13" t="s">
        <v>170</v>
      </c>
      <c r="K2" s="13" t="s">
        <v>170</v>
      </c>
      <c r="L2" s="13" t="s">
        <v>170</v>
      </c>
      <c r="M2" s="13" t="s">
        <v>170</v>
      </c>
      <c r="N2" s="13" t="s">
        <v>170</v>
      </c>
      <c r="O2" s="13" t="s">
        <v>170</v>
      </c>
      <c r="P2" s="13" t="s">
        <v>170</v>
      </c>
      <c r="Q2" s="13" t="s">
        <v>170</v>
      </c>
      <c r="R2" s="13" t="s">
        <v>170</v>
      </c>
      <c r="S2" s="13" t="s">
        <v>170</v>
      </c>
    </row>
    <row r="3" spans="1:19" ht="30" customHeight="1" x14ac:dyDescent="0.25">
      <c r="A3" s="33" t="s">
        <v>159</v>
      </c>
      <c r="B3" s="12" t="s">
        <v>160</v>
      </c>
      <c r="C3" s="4">
        <f>_xlfn.XLOOKUP(B3,Lookups!G:G,Lookups!H:H,"",0,1)</f>
        <v>3</v>
      </c>
      <c r="D3" s="4" t="str">
        <f>_xlfn.XLOOKUP(C3,[1]Sheet2!$A$2:$A$11,[1]Sheet2!$B$2:$B$11,"Not found")</f>
        <v>within 30 days</v>
      </c>
      <c r="E3" s="4"/>
      <c r="F3" s="13" t="s">
        <v>310</v>
      </c>
      <c r="G3" s="13" t="s">
        <v>170</v>
      </c>
      <c r="H3" s="13" t="s">
        <v>170</v>
      </c>
      <c r="I3" s="13" t="s">
        <v>170</v>
      </c>
      <c r="J3" s="13" t="s">
        <v>170</v>
      </c>
      <c r="K3" s="13" t="s">
        <v>170</v>
      </c>
      <c r="L3" s="13" t="s">
        <v>170</v>
      </c>
      <c r="M3" s="13" t="s">
        <v>170</v>
      </c>
      <c r="N3" s="13" t="s">
        <v>170</v>
      </c>
      <c r="O3" s="13" t="s">
        <v>170</v>
      </c>
      <c r="P3" s="13" t="s">
        <v>170</v>
      </c>
      <c r="Q3" s="13" t="s">
        <v>170</v>
      </c>
      <c r="R3" s="13" t="s">
        <v>170</v>
      </c>
      <c r="S3" s="13" t="s">
        <v>170</v>
      </c>
    </row>
    <row r="4" spans="1:19" ht="30" customHeight="1" x14ac:dyDescent="0.25">
      <c r="A4" s="33" t="s">
        <v>292</v>
      </c>
      <c r="B4" s="16" t="s">
        <v>286</v>
      </c>
      <c r="C4" s="4">
        <f>_xlfn.XLOOKUP(B4,Lookups!G:G,Lookups!H:H,"",0,1)</f>
        <v>3</v>
      </c>
      <c r="D4" s="4" t="str">
        <f>_xlfn.XLOOKUP(C4,[1]Sheet2!$A$2:$A$11,[1]Sheet2!$B$2:$B$11,"Not found")</f>
        <v>within 30 days</v>
      </c>
      <c r="E4" s="4"/>
      <c r="F4" s="13" t="s">
        <v>290</v>
      </c>
      <c r="G4" s="13" t="s">
        <v>170</v>
      </c>
      <c r="H4" s="13" t="s">
        <v>170</v>
      </c>
      <c r="I4" s="13" t="s">
        <v>170</v>
      </c>
      <c r="J4" s="13" t="s">
        <v>170</v>
      </c>
      <c r="K4" s="13" t="s">
        <v>170</v>
      </c>
      <c r="L4" s="13" t="s">
        <v>170</v>
      </c>
      <c r="M4" s="13" t="s">
        <v>170</v>
      </c>
      <c r="N4" s="13"/>
      <c r="O4" s="13"/>
      <c r="P4" s="13"/>
      <c r="Q4" s="13"/>
      <c r="R4" s="13" t="s">
        <v>170</v>
      </c>
      <c r="S4" s="13"/>
    </row>
    <row r="5" spans="1:19" ht="30" customHeight="1" x14ac:dyDescent="0.25">
      <c r="A5" s="33" t="s">
        <v>292</v>
      </c>
      <c r="B5" s="16" t="s">
        <v>287</v>
      </c>
      <c r="C5" s="4">
        <f>_xlfn.XLOOKUP(B5,Lookups!G:G,Lookups!H:H,"",0,1)</f>
        <v>3</v>
      </c>
      <c r="D5" s="4" t="str">
        <f>_xlfn.XLOOKUP(C5,[1]Sheet2!$A$2:$A$11,[1]Sheet2!$B$2:$B$11,"Not found")</f>
        <v>within 30 days</v>
      </c>
      <c r="E5" s="4"/>
      <c r="F5" s="13" t="s">
        <v>290</v>
      </c>
      <c r="G5" s="13"/>
      <c r="H5" s="13"/>
      <c r="I5" s="13"/>
      <c r="J5" s="13"/>
      <c r="K5" s="13"/>
      <c r="L5" s="13"/>
      <c r="M5" s="13"/>
      <c r="N5" s="13" t="s">
        <v>170</v>
      </c>
      <c r="O5" s="13" t="s">
        <v>170</v>
      </c>
      <c r="P5" s="13" t="s">
        <v>170</v>
      </c>
      <c r="Q5" s="13" t="s">
        <v>170</v>
      </c>
      <c r="R5" s="13"/>
      <c r="S5" s="13" t="s">
        <v>170</v>
      </c>
    </row>
    <row r="6" spans="1:19" ht="30" customHeight="1" x14ac:dyDescent="0.25">
      <c r="A6" s="33" t="s">
        <v>293</v>
      </c>
      <c r="B6" s="16" t="s">
        <v>288</v>
      </c>
      <c r="C6" s="4">
        <f>_xlfn.XLOOKUP(B6,Lookups!G:G,Lookups!H:H,"",0,1)</f>
        <v>3</v>
      </c>
      <c r="D6" s="4" t="str">
        <f>_xlfn.XLOOKUP(C6,[1]Sheet2!$A$2:$A$11,[1]Sheet2!$B$2:$B$11,"Not found")</f>
        <v>within 30 days</v>
      </c>
      <c r="E6" s="4"/>
      <c r="F6" s="13" t="s">
        <v>291</v>
      </c>
      <c r="G6" s="13" t="s">
        <v>170</v>
      </c>
      <c r="H6" s="13" t="s">
        <v>170</v>
      </c>
      <c r="I6" s="13" t="s">
        <v>170</v>
      </c>
      <c r="J6" s="13" t="s">
        <v>170</v>
      </c>
      <c r="K6" s="13" t="s">
        <v>170</v>
      </c>
      <c r="L6" s="13" t="s">
        <v>170</v>
      </c>
      <c r="M6" s="13" t="s">
        <v>170</v>
      </c>
      <c r="N6" s="13"/>
      <c r="O6" s="13"/>
      <c r="P6" s="13"/>
      <c r="Q6" s="13"/>
      <c r="R6" s="13" t="s">
        <v>170</v>
      </c>
      <c r="S6" s="13"/>
    </row>
    <row r="7" spans="1:19" ht="30" customHeight="1" x14ac:dyDescent="0.25">
      <c r="A7" s="33" t="s">
        <v>293</v>
      </c>
      <c r="B7" s="16" t="s">
        <v>289</v>
      </c>
      <c r="C7" s="4">
        <f>_xlfn.XLOOKUP(B7,Lookups!G:G,Lookups!H:H,"",0,1)</f>
        <v>3</v>
      </c>
      <c r="D7" s="4" t="str">
        <f>_xlfn.XLOOKUP(C7,[1]Sheet2!$A$2:$A$11,[1]Sheet2!$B$2:$B$11,"Not found")</f>
        <v>within 30 days</v>
      </c>
      <c r="E7" s="4"/>
      <c r="F7" s="13" t="s">
        <v>291</v>
      </c>
      <c r="G7" s="13"/>
      <c r="H7" s="13"/>
      <c r="I7" s="13"/>
      <c r="J7" s="13"/>
      <c r="K7" s="13"/>
      <c r="L7" s="13"/>
      <c r="M7" s="13"/>
      <c r="N7" s="13" t="s">
        <v>170</v>
      </c>
      <c r="O7" s="13" t="s">
        <v>170</v>
      </c>
      <c r="P7" s="13" t="s">
        <v>170</v>
      </c>
      <c r="Q7" s="13" t="s">
        <v>170</v>
      </c>
      <c r="R7" s="13"/>
      <c r="S7" s="13" t="s">
        <v>170</v>
      </c>
    </row>
    <row r="8" spans="1:19" ht="30" customHeight="1" x14ac:dyDescent="0.25">
      <c r="A8" s="33" t="s">
        <v>69</v>
      </c>
      <c r="B8" s="16" t="s">
        <v>285</v>
      </c>
      <c r="C8" s="4">
        <v>3</v>
      </c>
      <c r="D8" s="4" t="str">
        <f>_xlfn.XLOOKUP(C8,[1]Sheet2!$A$2:$A$11,[1]Sheet2!$B$2:$B$11,"Not found")</f>
        <v>within 30 days</v>
      </c>
      <c r="E8" s="4"/>
      <c r="F8" s="4" t="s">
        <v>284</v>
      </c>
      <c r="G8" s="13" t="s">
        <v>170</v>
      </c>
      <c r="H8" s="13" t="s">
        <v>169</v>
      </c>
      <c r="I8" s="13" t="s">
        <v>169</v>
      </c>
      <c r="J8" s="13" t="s">
        <v>169</v>
      </c>
      <c r="K8" s="13" t="s">
        <v>169</v>
      </c>
      <c r="L8" s="13" t="s">
        <v>169</v>
      </c>
      <c r="M8" s="13" t="s">
        <v>169</v>
      </c>
      <c r="N8" s="13" t="s">
        <v>169</v>
      </c>
      <c r="O8" s="13" t="s">
        <v>169</v>
      </c>
      <c r="P8" s="13" t="s">
        <v>169</v>
      </c>
      <c r="Q8" s="13" t="s">
        <v>169</v>
      </c>
      <c r="R8" s="13" t="s">
        <v>169</v>
      </c>
      <c r="S8" s="13" t="s">
        <v>169</v>
      </c>
    </row>
    <row r="9" spans="1:19" ht="30" customHeight="1" x14ac:dyDescent="0.25">
      <c r="A9" s="33" t="s">
        <v>70</v>
      </c>
      <c r="B9" s="12" t="s">
        <v>71</v>
      </c>
      <c r="C9" s="4">
        <f>_xlfn.XLOOKUP(B9,Lookups!G:G,Lookups!H:H,"",0,1)</f>
        <v>4</v>
      </c>
      <c r="D9" s="4" t="str">
        <f>_xlfn.XLOOKUP(C9,[1]Sheet2!$A$2:$A$11,[1]Sheet2!$B$2:$B$11,"Not found")</f>
        <v>within 60 days</v>
      </c>
      <c r="E9" s="4"/>
      <c r="F9" s="13" t="str">
        <f>_xlfn.XLOOKUP(B9,'Holiday Inn Express'!B:B,'Holiday Inn Express'!F:F,"",0,1)</f>
        <v>Self-paced Online Learning (1 Hour 45 Minutes).</v>
      </c>
      <c r="G9" s="13" t="s">
        <v>170</v>
      </c>
      <c r="H9" s="13" t="s">
        <v>170</v>
      </c>
      <c r="I9" s="13" t="s">
        <v>170</v>
      </c>
      <c r="J9" s="13" t="s">
        <v>170</v>
      </c>
      <c r="K9" s="13" t="s">
        <v>170</v>
      </c>
      <c r="L9" s="13" t="s">
        <v>170</v>
      </c>
      <c r="M9" s="13" t="s">
        <v>170</v>
      </c>
      <c r="N9" s="13" t="s">
        <v>169</v>
      </c>
      <c r="O9" s="13" t="s">
        <v>169</v>
      </c>
      <c r="P9" s="13" t="s">
        <v>169</v>
      </c>
      <c r="Q9" s="13" t="s">
        <v>169</v>
      </c>
      <c r="R9" s="13" t="s">
        <v>170</v>
      </c>
      <c r="S9" s="13" t="s">
        <v>169</v>
      </c>
    </row>
    <row r="10" spans="1:19" ht="30" customHeight="1" x14ac:dyDescent="0.25">
      <c r="A10" s="33" t="s">
        <v>274</v>
      </c>
      <c r="B10" s="3" t="s">
        <v>274</v>
      </c>
      <c r="C10" s="4">
        <v>10</v>
      </c>
      <c r="D10" s="4" t="str">
        <f>_xlfn.XLOOKUP(C10,[1]Sheet2!$A$2:$A$11,[1]Sheet2!$B$2:$B$11,"Not found")</f>
        <v>Suggested Learning</v>
      </c>
      <c r="E10" s="4"/>
      <c r="F10" s="13" t="str">
        <f>_xlfn.XLOOKUP(B10,'Holiday Inn Express'!B:B,'Holiday Inn Express'!F:F,"",0,1)</f>
        <v>Explore resource and apply accordingly</v>
      </c>
      <c r="G10" s="13" t="s">
        <v>170</v>
      </c>
      <c r="H10" s="13" t="s">
        <v>170</v>
      </c>
      <c r="I10" s="13" t="s">
        <v>170</v>
      </c>
      <c r="J10" s="13" t="s">
        <v>170</v>
      </c>
      <c r="K10" s="13" t="s">
        <v>170</v>
      </c>
      <c r="L10" s="13" t="s">
        <v>170</v>
      </c>
      <c r="M10" s="13" t="s">
        <v>170</v>
      </c>
      <c r="N10" s="13" t="s">
        <v>169</v>
      </c>
      <c r="O10" s="13" t="s">
        <v>169</v>
      </c>
      <c r="P10" s="13" t="s">
        <v>169</v>
      </c>
      <c r="Q10" s="13" t="s">
        <v>169</v>
      </c>
      <c r="R10" s="13" t="s">
        <v>170</v>
      </c>
      <c r="S10" s="13" t="s">
        <v>169</v>
      </c>
    </row>
    <row r="11" spans="1:19" ht="30" customHeight="1" x14ac:dyDescent="0.25">
      <c r="A11" s="33" t="s">
        <v>168</v>
      </c>
      <c r="B11" s="12" t="s">
        <v>72</v>
      </c>
      <c r="C11" s="4">
        <f>_xlfn.XLOOKUP(B11,Lookups!G:G,Lookups!H:H,"",0,1)</f>
        <v>3</v>
      </c>
      <c r="D11" s="4" t="str">
        <f>_xlfn.XLOOKUP(C11,[1]Sheet2!$A$2:$A$11,[1]Sheet2!$B$2:$B$11,"Not found")</f>
        <v>within 30 days</v>
      </c>
      <c r="E11" s="4"/>
      <c r="F11" s="13" t="str">
        <f>_xlfn.XLOOKUP(B11,'Holiday Inn Express'!B:B,'Holiday Inn Express'!F:F,"",0,1)</f>
        <v xml:space="preserve">Self-paced Online Learning (1 Hour). Hotel-led in-person training (On-Job-Training, OJT) is permitted &amp; completions must be tracked in myLearning. </v>
      </c>
      <c r="G11" s="13" t="s">
        <v>170</v>
      </c>
      <c r="H11" s="13" t="s">
        <v>170</v>
      </c>
      <c r="I11" s="13" t="s">
        <v>170</v>
      </c>
      <c r="J11" s="13" t="s">
        <v>170</v>
      </c>
      <c r="K11" s="13" t="s">
        <v>170</v>
      </c>
      <c r="L11" s="13" t="s">
        <v>170</v>
      </c>
      <c r="M11" s="13" t="s">
        <v>170</v>
      </c>
      <c r="N11" s="13" t="s">
        <v>170</v>
      </c>
      <c r="O11" s="13" t="s">
        <v>170</v>
      </c>
      <c r="P11" s="13" t="s">
        <v>170</v>
      </c>
      <c r="Q11" s="13" t="s">
        <v>170</v>
      </c>
      <c r="R11" s="13" t="s">
        <v>170</v>
      </c>
      <c r="S11" s="13" t="s">
        <v>170</v>
      </c>
    </row>
    <row r="12" spans="1:19" ht="30" customHeight="1" x14ac:dyDescent="0.25">
      <c r="A12" s="33" t="s">
        <v>73</v>
      </c>
      <c r="B12" s="17" t="s">
        <v>74</v>
      </c>
      <c r="C12" s="4">
        <f>_xlfn.XLOOKUP(B12,Lookups!G:G,Lookups!H:H,"",0,1)</f>
        <v>3</v>
      </c>
      <c r="D12" s="4" t="str">
        <f>_xlfn.XLOOKUP(C12,[1]Sheet2!$A$2:$A$11,[1]Sheet2!$B$2:$B$11,"Not found")</f>
        <v>within 30 days</v>
      </c>
      <c r="E12" s="4"/>
      <c r="F12" s="13" t="str">
        <f>_xlfn.XLOOKUP(B12,'Holiday Inn Express'!B:B,'Holiday Inn Express'!F:F,"",0,1)</f>
        <v>Self-paced Online Learning (20 Minutes).</v>
      </c>
      <c r="G12" s="13" t="s">
        <v>170</v>
      </c>
      <c r="H12" s="13" t="s">
        <v>170</v>
      </c>
      <c r="I12" s="13" t="s">
        <v>170</v>
      </c>
      <c r="J12" s="13" t="s">
        <v>170</v>
      </c>
      <c r="K12" s="13" t="s">
        <v>170</v>
      </c>
      <c r="L12" s="13" t="s">
        <v>170</v>
      </c>
      <c r="M12" s="13" t="s">
        <v>170</v>
      </c>
      <c r="N12" s="13" t="s">
        <v>170</v>
      </c>
      <c r="O12" s="13" t="s">
        <v>170</v>
      </c>
      <c r="P12" s="13" t="s">
        <v>170</v>
      </c>
      <c r="Q12" s="13" t="s">
        <v>170</v>
      </c>
      <c r="R12" s="13" t="s">
        <v>170</v>
      </c>
      <c r="S12" s="13" t="s">
        <v>170</v>
      </c>
    </row>
    <row r="13" spans="1:19" ht="30" customHeight="1" x14ac:dyDescent="0.25">
      <c r="A13" s="33" t="s">
        <v>75</v>
      </c>
      <c r="B13" s="17" t="s">
        <v>76</v>
      </c>
      <c r="C13" s="4">
        <f>_xlfn.XLOOKUP(B13,Lookups!G:G,Lookups!H:H,"",0,1)</f>
        <v>3</v>
      </c>
      <c r="D13" s="4" t="str">
        <f>_xlfn.XLOOKUP(C13,[1]Sheet2!$A$2:$A$11,[1]Sheet2!$B$2:$B$11,"Not found")</f>
        <v>within 30 days</v>
      </c>
      <c r="E13" s="4"/>
      <c r="F13" s="13" t="str">
        <f>_xlfn.XLOOKUP(B13,'Holiday Inn Express'!B:B,'Holiday Inn Express'!F:F,"",0,1)</f>
        <v>Self-paced Online Learning (20 Minutes).</v>
      </c>
      <c r="G13" s="13" t="s">
        <v>170</v>
      </c>
      <c r="H13" s="13" t="s">
        <v>170</v>
      </c>
      <c r="I13" s="13" t="s">
        <v>170</v>
      </c>
      <c r="J13" s="13" t="s">
        <v>170</v>
      </c>
      <c r="K13" s="13" t="s">
        <v>170</v>
      </c>
      <c r="L13" s="13" t="s">
        <v>170</v>
      </c>
      <c r="M13" s="13" t="s">
        <v>170</v>
      </c>
      <c r="N13" s="13" t="s">
        <v>169</v>
      </c>
      <c r="O13" s="13" t="s">
        <v>169</v>
      </c>
      <c r="P13" s="13" t="s">
        <v>169</v>
      </c>
      <c r="Q13" s="13" t="s">
        <v>169</v>
      </c>
      <c r="R13" s="13" t="s">
        <v>170</v>
      </c>
      <c r="S13" s="13" t="s">
        <v>169</v>
      </c>
    </row>
    <row r="14" spans="1:19" ht="30" customHeight="1" x14ac:dyDescent="0.25">
      <c r="A14" s="33" t="s">
        <v>77</v>
      </c>
      <c r="B14" s="17" t="s">
        <v>78</v>
      </c>
      <c r="C14" s="4">
        <f>_xlfn.XLOOKUP(B14,Lookups!G:G,Lookups!H:H,"",0,1)</f>
        <v>3</v>
      </c>
      <c r="D14" s="4" t="str">
        <f>_xlfn.XLOOKUP(C14,[1]Sheet2!$A$2:$A$11,[1]Sheet2!$B$2:$B$11,"Not found")</f>
        <v>within 30 days</v>
      </c>
      <c r="E14" s="4"/>
      <c r="F14" s="13" t="str">
        <f>_xlfn.XLOOKUP(B14,'Holiday Inn Express'!B:B,'Holiday Inn Express'!F:F,"",0,1)</f>
        <v>Self-paced Online Learning (20 Minutes).</v>
      </c>
      <c r="G14" s="13" t="s">
        <v>170</v>
      </c>
      <c r="H14" s="13" t="s">
        <v>170</v>
      </c>
      <c r="I14" s="13" t="s">
        <v>170</v>
      </c>
      <c r="J14" s="13" t="s">
        <v>170</v>
      </c>
      <c r="K14" s="13" t="s">
        <v>170</v>
      </c>
      <c r="L14" s="13" t="s">
        <v>170</v>
      </c>
      <c r="M14" s="13" t="s">
        <v>170</v>
      </c>
      <c r="N14" s="13" t="s">
        <v>170</v>
      </c>
      <c r="O14" s="13" t="s">
        <v>170</v>
      </c>
      <c r="P14" s="13" t="s">
        <v>170</v>
      </c>
      <c r="Q14" s="13" t="s">
        <v>170</v>
      </c>
      <c r="R14" s="13" t="s">
        <v>170</v>
      </c>
      <c r="S14" s="13" t="s">
        <v>170</v>
      </c>
    </row>
    <row r="15" spans="1:19" ht="30" customHeight="1" x14ac:dyDescent="0.25">
      <c r="A15" s="33" t="s">
        <v>79</v>
      </c>
      <c r="B15" s="17" t="s">
        <v>80</v>
      </c>
      <c r="C15" s="4">
        <f>_xlfn.XLOOKUP(B15,Lookups!G:G,Lookups!H:H,"",0,1)</f>
        <v>3</v>
      </c>
      <c r="D15" s="4" t="str">
        <f>_xlfn.XLOOKUP(C15,[1]Sheet2!$A$2:$A$11,[1]Sheet2!$B$2:$B$11,"Not found")</f>
        <v>within 30 days</v>
      </c>
      <c r="E15" s="4"/>
      <c r="F15" s="13" t="str">
        <f>_xlfn.XLOOKUP(B15,'Holiday Inn Express'!B:B,'Holiday Inn Express'!F:F,"",0,1)</f>
        <v>Self-paced Online Learning (15 Minutes).</v>
      </c>
      <c r="G15" s="13" t="s">
        <v>170</v>
      </c>
      <c r="H15" s="13" t="s">
        <v>170</v>
      </c>
      <c r="I15" s="13" t="s">
        <v>170</v>
      </c>
      <c r="J15" s="13" t="s">
        <v>170</v>
      </c>
      <c r="K15" s="13" t="s">
        <v>170</v>
      </c>
      <c r="L15" s="13" t="s">
        <v>170</v>
      </c>
      <c r="M15" s="13" t="s">
        <v>170</v>
      </c>
      <c r="N15" s="13" t="s">
        <v>170</v>
      </c>
      <c r="O15" s="13" t="s">
        <v>170</v>
      </c>
      <c r="P15" s="13" t="s">
        <v>170</v>
      </c>
      <c r="Q15" s="13" t="s">
        <v>170</v>
      </c>
      <c r="R15" s="13" t="s">
        <v>170</v>
      </c>
      <c r="S15" s="13" t="s">
        <v>170</v>
      </c>
    </row>
    <row r="16" spans="1:19" ht="30" customHeight="1" x14ac:dyDescent="0.25">
      <c r="A16" s="33" t="s">
        <v>81</v>
      </c>
      <c r="B16" s="17" t="s">
        <v>82</v>
      </c>
      <c r="C16" s="4">
        <f>_xlfn.XLOOKUP(B16,Lookups!G:G,Lookups!H:H,"",0,1)</f>
        <v>3</v>
      </c>
      <c r="D16" s="4" t="str">
        <f>_xlfn.XLOOKUP(C16,[1]Sheet2!$A$2:$A$11,[1]Sheet2!$B$2:$B$11,"Not found")</f>
        <v>within 30 days</v>
      </c>
      <c r="E16" s="4"/>
      <c r="F16" s="13" t="str">
        <f>_xlfn.XLOOKUP(B16,'Holiday Inn Express'!B:B,'Holiday Inn Express'!F:F,"",0,1)</f>
        <v>Self-paced Online Learning (20 Minutes).</v>
      </c>
      <c r="G16" s="13" t="s">
        <v>170</v>
      </c>
      <c r="H16" s="13" t="s">
        <v>170</v>
      </c>
      <c r="I16" s="13" t="s">
        <v>170</v>
      </c>
      <c r="J16" s="13" t="s">
        <v>170</v>
      </c>
      <c r="K16" s="13" t="s">
        <v>170</v>
      </c>
      <c r="L16" s="13" t="s">
        <v>170</v>
      </c>
      <c r="M16" s="13" t="s">
        <v>170</v>
      </c>
      <c r="N16" s="13" t="s">
        <v>170</v>
      </c>
      <c r="O16" s="13" t="s">
        <v>170</v>
      </c>
      <c r="P16" s="13" t="s">
        <v>170</v>
      </c>
      <c r="Q16" s="13" t="s">
        <v>170</v>
      </c>
      <c r="R16" s="13" t="s">
        <v>170</v>
      </c>
      <c r="S16" s="13" t="s">
        <v>170</v>
      </c>
    </row>
    <row r="17" spans="1:19" ht="30" customHeight="1" x14ac:dyDescent="0.25">
      <c r="A17" s="33" t="s">
        <v>83</v>
      </c>
      <c r="B17" s="17" t="s">
        <v>84</v>
      </c>
      <c r="C17" s="4">
        <f>_xlfn.XLOOKUP(B17,Lookups!G:G,Lookups!H:H,"",0,1)</f>
        <v>10</v>
      </c>
      <c r="D17" s="4" t="str">
        <f>_xlfn.XLOOKUP(C17,[1]Sheet2!$A$2:$A$11,[1]Sheet2!$B$2:$B$11,"Not found")</f>
        <v>Suggested Learning</v>
      </c>
      <c r="E17" s="4"/>
      <c r="F17" s="13" t="str">
        <f>_xlfn.XLOOKUP(B17,'Holiday Inn Express'!B:B,'Holiday Inn Express'!F:F,"",0,1)</f>
        <v>Self-paced Online Learning.</v>
      </c>
      <c r="G17" s="13" t="s">
        <v>170</v>
      </c>
      <c r="H17" s="13" t="s">
        <v>170</v>
      </c>
      <c r="I17" s="13" t="s">
        <v>170</v>
      </c>
      <c r="J17" s="13" t="s">
        <v>170</v>
      </c>
      <c r="K17" s="13" t="s">
        <v>170</v>
      </c>
      <c r="L17" s="13" t="s">
        <v>170</v>
      </c>
      <c r="M17" s="13" t="s">
        <v>170</v>
      </c>
      <c r="N17" s="13" t="s">
        <v>170</v>
      </c>
      <c r="O17" s="13" t="s">
        <v>169</v>
      </c>
      <c r="P17" s="13" t="s">
        <v>169</v>
      </c>
      <c r="Q17" s="13" t="s">
        <v>169</v>
      </c>
      <c r="R17" s="13" t="s">
        <v>170</v>
      </c>
      <c r="S17" s="13" t="s">
        <v>170</v>
      </c>
    </row>
    <row r="18" spans="1:19" ht="30" customHeight="1" x14ac:dyDescent="0.25">
      <c r="A18" s="33" t="s">
        <v>85</v>
      </c>
      <c r="B18" s="17" t="s">
        <v>86</v>
      </c>
      <c r="C18" s="4">
        <f>_xlfn.XLOOKUP(B18,Lookups!G:G,Lookups!H:H,"",0,1)</f>
        <v>10</v>
      </c>
      <c r="D18" s="4" t="str">
        <f>_xlfn.XLOOKUP(C18,[1]Sheet2!$A$2:$A$11,[1]Sheet2!$B$2:$B$11,"Not found")</f>
        <v>Suggested Learning</v>
      </c>
      <c r="E18" s="4"/>
      <c r="F18" s="13" t="str">
        <f>_xlfn.XLOOKUP(B18,'Holiday Inn Express'!B:B,'Holiday Inn Express'!F:F,"",0,1)</f>
        <v>Self-paced Online Learning.</v>
      </c>
      <c r="G18" s="13" t="s">
        <v>170</v>
      </c>
      <c r="H18" s="13" t="s">
        <v>169</v>
      </c>
      <c r="I18" s="13" t="s">
        <v>169</v>
      </c>
      <c r="J18" s="13" t="s">
        <v>170</v>
      </c>
      <c r="K18" s="13" t="s">
        <v>169</v>
      </c>
      <c r="L18" s="13" t="s">
        <v>169</v>
      </c>
      <c r="M18" s="13" t="s">
        <v>169</v>
      </c>
      <c r="N18" s="13" t="s">
        <v>170</v>
      </c>
      <c r="O18" s="13" t="s">
        <v>169</v>
      </c>
      <c r="P18" s="13" t="s">
        <v>169</v>
      </c>
      <c r="Q18" s="13" t="s">
        <v>169</v>
      </c>
      <c r="R18" s="13" t="s">
        <v>169</v>
      </c>
      <c r="S18" s="13" t="s">
        <v>169</v>
      </c>
    </row>
    <row r="19" spans="1:19" ht="30" customHeight="1" x14ac:dyDescent="0.25">
      <c r="A19" s="33" t="s">
        <v>87</v>
      </c>
      <c r="B19" s="15" t="s">
        <v>88</v>
      </c>
      <c r="C19" s="4">
        <f>_xlfn.XLOOKUP(B19,Lookups!G:G,Lookups!H:H,"",0,1)</f>
        <v>3</v>
      </c>
      <c r="D19" s="4" t="str">
        <f>_xlfn.XLOOKUP(C19,[1]Sheet2!$A$2:$A$11,[1]Sheet2!$B$2:$B$11,"Not found")</f>
        <v>within 30 days</v>
      </c>
      <c r="E19" s="4"/>
      <c r="F19" s="13" t="str">
        <f>_xlfn.XLOOKUP(B19,'Holiday Inn Express'!B:B,'Holiday Inn Express'!F:F,"",0,1)</f>
        <v xml:space="preserve">Hotel-led in-person training (On-Job-Training, OJT) is permitted &amp; completions must be tracked in myLearning. </v>
      </c>
      <c r="G19" s="13" t="s">
        <v>169</v>
      </c>
      <c r="H19" s="13" t="s">
        <v>169</v>
      </c>
      <c r="I19" s="13" t="s">
        <v>169</v>
      </c>
      <c r="J19" s="13" t="s">
        <v>169</v>
      </c>
      <c r="K19" s="13" t="s">
        <v>170</v>
      </c>
      <c r="L19" s="13" t="s">
        <v>169</v>
      </c>
      <c r="M19" s="13" t="s">
        <v>169</v>
      </c>
      <c r="N19" s="13" t="s">
        <v>169</v>
      </c>
      <c r="O19" s="13" t="s">
        <v>170</v>
      </c>
      <c r="P19" s="13" t="s">
        <v>170</v>
      </c>
      <c r="Q19" s="13" t="s">
        <v>169</v>
      </c>
      <c r="R19" s="13" t="s">
        <v>169</v>
      </c>
      <c r="S19" s="13" t="s">
        <v>169</v>
      </c>
    </row>
    <row r="20" spans="1:19" ht="30" customHeight="1" x14ac:dyDescent="0.25">
      <c r="A20" s="33" t="s">
        <v>89</v>
      </c>
      <c r="B20" s="16" t="s">
        <v>90</v>
      </c>
      <c r="C20" s="4">
        <f>_xlfn.XLOOKUP(B20,Lookups!G:G,Lookups!H:H,"",0,1)</f>
        <v>3</v>
      </c>
      <c r="D20" s="4" t="str">
        <f>_xlfn.XLOOKUP(C20,[1]Sheet2!$A$2:$A$11,[1]Sheet2!$B$2:$B$11,"Not found")</f>
        <v>within 30 days</v>
      </c>
      <c r="E20" s="4"/>
      <c r="F20" s="13" t="str">
        <f>_xlfn.XLOOKUP(B20,'Holiday Inn Express'!B:B,'Holiday Inn Express'!F:F,"",0,1)</f>
        <v xml:space="preserve">Self-paced Online Learning (20 Minutes). Hotel-led in-person training (On-Job-Training, OJT) is permitted &amp; completions must be tracked in myLearning. </v>
      </c>
      <c r="G20" s="13" t="s">
        <v>170</v>
      </c>
      <c r="H20" s="13" t="s">
        <v>170</v>
      </c>
      <c r="I20" s="13" t="s">
        <v>170</v>
      </c>
      <c r="J20" s="13" t="s">
        <v>170</v>
      </c>
      <c r="K20" s="13" t="s">
        <v>169</v>
      </c>
      <c r="L20" s="13" t="s">
        <v>170</v>
      </c>
      <c r="M20" s="13" t="s">
        <v>170</v>
      </c>
      <c r="N20" s="13" t="s">
        <v>170</v>
      </c>
      <c r="O20" s="13" t="s">
        <v>169</v>
      </c>
      <c r="P20" s="13" t="s">
        <v>169</v>
      </c>
      <c r="Q20" s="13" t="s">
        <v>170</v>
      </c>
      <c r="R20" s="13" t="s">
        <v>170</v>
      </c>
      <c r="S20" s="13" t="s">
        <v>170</v>
      </c>
    </row>
    <row r="21" spans="1:19" ht="30" customHeight="1" x14ac:dyDescent="0.25">
      <c r="A21" s="33" t="s">
        <v>91</v>
      </c>
      <c r="B21" s="17" t="s">
        <v>92</v>
      </c>
      <c r="C21" s="4">
        <f>_xlfn.XLOOKUP(B21,Lookups!G:G,Lookups!H:H,"",0,1)</f>
        <v>10</v>
      </c>
      <c r="D21" s="4" t="str">
        <f>_xlfn.XLOOKUP(C21,[1]Sheet2!$A$2:$A$11,[1]Sheet2!$B$2:$B$11,"Not found")</f>
        <v>Suggested Learning</v>
      </c>
      <c r="E21" s="4"/>
      <c r="F21" s="13" t="str">
        <f>_xlfn.XLOOKUP(B21,'Holiday Inn Express'!B:B,'Holiday Inn Express'!F:F,"",0,1)</f>
        <v>Self-paced Online Learning.</v>
      </c>
      <c r="G21" s="13" t="s">
        <v>170</v>
      </c>
      <c r="H21" s="13" t="s">
        <v>170</v>
      </c>
      <c r="I21" s="13" t="s">
        <v>170</v>
      </c>
      <c r="J21" s="13" t="s">
        <v>170</v>
      </c>
      <c r="K21" s="13" t="s">
        <v>169</v>
      </c>
      <c r="L21" s="13" t="s">
        <v>169</v>
      </c>
      <c r="M21" s="13" t="s">
        <v>169</v>
      </c>
      <c r="N21" s="13" t="s">
        <v>169</v>
      </c>
      <c r="O21" s="13" t="s">
        <v>169</v>
      </c>
      <c r="P21" s="13" t="s">
        <v>169</v>
      </c>
      <c r="Q21" s="13" t="s">
        <v>169</v>
      </c>
      <c r="R21" s="13" t="s">
        <v>169</v>
      </c>
      <c r="S21" s="13" t="s">
        <v>169</v>
      </c>
    </row>
    <row r="22" spans="1:19" ht="30" customHeight="1" x14ac:dyDescent="0.25">
      <c r="A22" s="33" t="s">
        <v>93</v>
      </c>
      <c r="B22" s="17" t="s">
        <v>94</v>
      </c>
      <c r="C22" s="4">
        <f>_xlfn.XLOOKUP(B22,Lookups!G:G,Lookups!H:H,"",0,1)</f>
        <v>10</v>
      </c>
      <c r="D22" s="4" t="str">
        <f>_xlfn.XLOOKUP(C22,[1]Sheet2!$A$2:$A$11,[1]Sheet2!$B$2:$B$11,"Not found")</f>
        <v>Suggested Learning</v>
      </c>
      <c r="E22" s="4"/>
      <c r="F22" s="13" t="str">
        <f>_xlfn.XLOOKUP(B22,'Holiday Inn Express'!B:B,'Holiday Inn Express'!F:F,"",0,1)</f>
        <v>Self-paced Online Learning.</v>
      </c>
      <c r="G22" s="13" t="s">
        <v>170</v>
      </c>
      <c r="H22" s="13" t="s">
        <v>169</v>
      </c>
      <c r="I22" s="13" t="s">
        <v>169</v>
      </c>
      <c r="J22" s="13" t="s">
        <v>169</v>
      </c>
      <c r="K22" s="13" t="s">
        <v>169</v>
      </c>
      <c r="L22" s="13" t="s">
        <v>169</v>
      </c>
      <c r="M22" s="13" t="s">
        <v>169</v>
      </c>
      <c r="N22" s="13" t="s">
        <v>169</v>
      </c>
      <c r="O22" s="13" t="s">
        <v>169</v>
      </c>
      <c r="P22" s="13" t="s">
        <v>169</v>
      </c>
      <c r="Q22" s="13" t="s">
        <v>169</v>
      </c>
      <c r="R22" s="13" t="s">
        <v>169</v>
      </c>
      <c r="S22" s="13" t="s">
        <v>169</v>
      </c>
    </row>
    <row r="23" spans="1:19" ht="30" customHeight="1" x14ac:dyDescent="0.25">
      <c r="A23" s="33" t="s">
        <v>95</v>
      </c>
      <c r="B23" s="17" t="s">
        <v>96</v>
      </c>
      <c r="C23" s="4">
        <f>_xlfn.XLOOKUP(B23,Lookups!G:G,Lookups!H:H,"",0,1)</f>
        <v>10</v>
      </c>
      <c r="D23" s="4" t="str">
        <f>_xlfn.XLOOKUP(C23,[1]Sheet2!$A$2:$A$11,[1]Sheet2!$B$2:$B$11,"Not found")</f>
        <v>Suggested Learning</v>
      </c>
      <c r="E23" s="4"/>
      <c r="F23" s="13" t="str">
        <f>_xlfn.XLOOKUP(B23,'Holiday Inn Express'!B:B,'Holiday Inn Express'!F:F,"",0,1)</f>
        <v>Self-paced Online Learning.</v>
      </c>
      <c r="G23" s="13" t="s">
        <v>170</v>
      </c>
      <c r="H23" s="13" t="s">
        <v>169</v>
      </c>
      <c r="I23" s="13" t="s">
        <v>169</v>
      </c>
      <c r="J23" s="13" t="s">
        <v>169</v>
      </c>
      <c r="K23" s="13" t="s">
        <v>169</v>
      </c>
      <c r="L23" s="13" t="s">
        <v>169</v>
      </c>
      <c r="M23" s="13" t="s">
        <v>169</v>
      </c>
      <c r="N23" s="13" t="s">
        <v>169</v>
      </c>
      <c r="O23" s="13" t="s">
        <v>169</v>
      </c>
      <c r="P23" s="13" t="s">
        <v>169</v>
      </c>
      <c r="Q23" s="13" t="s">
        <v>169</v>
      </c>
      <c r="R23" s="13" t="s">
        <v>169</v>
      </c>
      <c r="S23" s="13" t="s">
        <v>169</v>
      </c>
    </row>
    <row r="24" spans="1:19" ht="30" customHeight="1" x14ac:dyDescent="0.25">
      <c r="A24" s="33" t="s">
        <v>97</v>
      </c>
      <c r="B24" s="17" t="s">
        <v>98</v>
      </c>
      <c r="C24" s="4">
        <f>_xlfn.XLOOKUP(B24,Lookups!G:G,Lookups!H:H,"",0,1)</f>
        <v>10</v>
      </c>
      <c r="D24" s="4" t="str">
        <f>_xlfn.XLOOKUP(C24,[1]Sheet2!$A$2:$A$11,[1]Sheet2!$B$2:$B$11,"Not found")</f>
        <v>Suggested Learning</v>
      </c>
      <c r="E24" s="4"/>
      <c r="F24" s="13" t="str">
        <f>_xlfn.XLOOKUP(B24,'Holiday Inn Express'!B:B,'Holiday Inn Express'!F:F,"",0,1)</f>
        <v>Self-paced Online Learning.</v>
      </c>
      <c r="G24" s="13" t="s">
        <v>170</v>
      </c>
      <c r="H24" s="13" t="s">
        <v>169</v>
      </c>
      <c r="I24" s="13" t="s">
        <v>169</v>
      </c>
      <c r="J24" s="13" t="s">
        <v>169</v>
      </c>
      <c r="K24" s="13" t="s">
        <v>169</v>
      </c>
      <c r="L24" s="13" t="s">
        <v>169</v>
      </c>
      <c r="M24" s="13" t="s">
        <v>169</v>
      </c>
      <c r="N24" s="13" t="s">
        <v>169</v>
      </c>
      <c r="O24" s="13" t="s">
        <v>169</v>
      </c>
      <c r="P24" s="13" t="s">
        <v>169</v>
      </c>
      <c r="Q24" s="13" t="s">
        <v>169</v>
      </c>
      <c r="R24" s="13" t="s">
        <v>169</v>
      </c>
      <c r="S24" s="13" t="s">
        <v>169</v>
      </c>
    </row>
    <row r="25" spans="1:19" ht="30" customHeight="1" x14ac:dyDescent="0.25">
      <c r="A25" s="33" t="s">
        <v>99</v>
      </c>
      <c r="B25" s="17" t="s">
        <v>100</v>
      </c>
      <c r="C25" s="4">
        <f>_xlfn.XLOOKUP(B25,Lookups!G:G,Lookups!H:H,"",0,1)</f>
        <v>10</v>
      </c>
      <c r="D25" s="4" t="str">
        <f>_xlfn.XLOOKUP(C25,[1]Sheet2!$A$2:$A$11,[1]Sheet2!$B$2:$B$11,"Not found")</f>
        <v>Suggested Learning</v>
      </c>
      <c r="E25" s="4"/>
      <c r="F25" s="13" t="str">
        <f>_xlfn.XLOOKUP(B25,'Holiday Inn Express'!B:B,'Holiday Inn Express'!F:F,"",0,1)</f>
        <v>Self-paced Online Learning.</v>
      </c>
      <c r="G25" s="13" t="s">
        <v>170</v>
      </c>
      <c r="H25" s="13" t="s">
        <v>169</v>
      </c>
      <c r="I25" s="13" t="s">
        <v>169</v>
      </c>
      <c r="J25" s="13" t="s">
        <v>169</v>
      </c>
      <c r="K25" s="13" t="s">
        <v>169</v>
      </c>
      <c r="L25" s="13" t="s">
        <v>169</v>
      </c>
      <c r="M25" s="13" t="s">
        <v>169</v>
      </c>
      <c r="N25" s="13" t="s">
        <v>169</v>
      </c>
      <c r="O25" s="13" t="s">
        <v>169</v>
      </c>
      <c r="P25" s="13" t="s">
        <v>169</v>
      </c>
      <c r="Q25" s="13" t="s">
        <v>169</v>
      </c>
      <c r="R25" s="13" t="s">
        <v>169</v>
      </c>
      <c r="S25" s="13" t="s">
        <v>169</v>
      </c>
    </row>
    <row r="26" spans="1:19" ht="30" customHeight="1" x14ac:dyDescent="0.25">
      <c r="A26" s="33" t="s">
        <v>101</v>
      </c>
      <c r="B26" s="17" t="s">
        <v>102</v>
      </c>
      <c r="C26" s="4">
        <f>_xlfn.XLOOKUP(B26,Lookups!G:G,Lookups!H:H,"",0,1)</f>
        <v>10</v>
      </c>
      <c r="D26" s="4" t="str">
        <f>_xlfn.XLOOKUP(C26,[1]Sheet2!$A$2:$A$11,[1]Sheet2!$B$2:$B$11,"Not found")</f>
        <v>Suggested Learning</v>
      </c>
      <c r="E26" s="4"/>
      <c r="F26" s="13" t="str">
        <f>_xlfn.XLOOKUP(B26,'Holiday Inn Express'!B:B,'Holiday Inn Express'!F:F,"",0,1)</f>
        <v>Self-paced Online Learning.</v>
      </c>
      <c r="G26" s="13" t="s">
        <v>170</v>
      </c>
      <c r="H26" s="13" t="s">
        <v>170</v>
      </c>
      <c r="I26" s="13" t="s">
        <v>170</v>
      </c>
      <c r="J26" s="13" t="s">
        <v>170</v>
      </c>
      <c r="K26" s="13" t="s">
        <v>169</v>
      </c>
      <c r="L26" s="13" t="s">
        <v>169</v>
      </c>
      <c r="M26" s="13" t="s">
        <v>169</v>
      </c>
      <c r="N26" s="13" t="s">
        <v>169</v>
      </c>
      <c r="O26" s="13" t="s">
        <v>169</v>
      </c>
      <c r="P26" s="13" t="s">
        <v>169</v>
      </c>
      <c r="Q26" s="13" t="s">
        <v>169</v>
      </c>
      <c r="R26" s="13" t="s">
        <v>169</v>
      </c>
      <c r="S26" s="13" t="s">
        <v>169</v>
      </c>
    </row>
    <row r="27" spans="1:19" ht="30" customHeight="1" x14ac:dyDescent="0.25">
      <c r="A27" s="33" t="s">
        <v>103</v>
      </c>
      <c r="B27" s="17" t="s">
        <v>104</v>
      </c>
      <c r="C27" s="4">
        <f>_xlfn.XLOOKUP(B27,Lookups!G:G,Lookups!H:H,"",0,1)</f>
        <v>10</v>
      </c>
      <c r="D27" s="4" t="str">
        <f>_xlfn.XLOOKUP(C27,[1]Sheet2!$A$2:$A$11,[1]Sheet2!$B$2:$B$11,"Not found")</f>
        <v>Suggested Learning</v>
      </c>
      <c r="E27" s="4"/>
      <c r="F27" s="13" t="str">
        <f>_xlfn.XLOOKUP(B27,'Holiday Inn Express'!B:B,'Holiday Inn Express'!F:F,"",0,1)</f>
        <v>Self-paced Online Learning (5 Minutes).</v>
      </c>
      <c r="G27" s="13" t="s">
        <v>170</v>
      </c>
      <c r="H27" s="13" t="s">
        <v>170</v>
      </c>
      <c r="I27" s="13" t="s">
        <v>170</v>
      </c>
      <c r="J27" s="13" t="s">
        <v>170</v>
      </c>
      <c r="K27" s="13" t="s">
        <v>169</v>
      </c>
      <c r="L27" s="13" t="s">
        <v>169</v>
      </c>
      <c r="M27" s="13" t="s">
        <v>169</v>
      </c>
      <c r="N27" s="13" t="s">
        <v>169</v>
      </c>
      <c r="O27" s="13" t="s">
        <v>169</v>
      </c>
      <c r="P27" s="13" t="s">
        <v>169</v>
      </c>
      <c r="Q27" s="13" t="s">
        <v>169</v>
      </c>
      <c r="R27" s="13" t="s">
        <v>169</v>
      </c>
      <c r="S27" s="13" t="s">
        <v>169</v>
      </c>
    </row>
    <row r="28" spans="1:19" ht="30" customHeight="1" x14ac:dyDescent="0.25">
      <c r="A28" s="33" t="s">
        <v>105</v>
      </c>
      <c r="B28" s="17" t="s">
        <v>106</v>
      </c>
      <c r="C28" s="4">
        <f>_xlfn.XLOOKUP(B28,Lookups!G:G,Lookups!H:H,"",0,1)</f>
        <v>10</v>
      </c>
      <c r="D28" s="4" t="str">
        <f>_xlfn.XLOOKUP(C28,[1]Sheet2!$A$2:$A$11,[1]Sheet2!$B$2:$B$11,"Not found")</f>
        <v>Suggested Learning</v>
      </c>
      <c r="E28" s="4"/>
      <c r="F28" s="13" t="str">
        <f>_xlfn.XLOOKUP(B28,'Holiday Inn Express'!B:B,'Holiday Inn Express'!F:F,"",0,1)</f>
        <v>Self-paced Online Learning (25 Minutes).</v>
      </c>
      <c r="G28" s="13" t="s">
        <v>170</v>
      </c>
      <c r="H28" s="13" t="s">
        <v>170</v>
      </c>
      <c r="I28" s="13" t="s">
        <v>169</v>
      </c>
      <c r="J28" s="13" t="s">
        <v>169</v>
      </c>
      <c r="K28" s="13" t="s">
        <v>169</v>
      </c>
      <c r="L28" s="13" t="s">
        <v>169</v>
      </c>
      <c r="M28" s="13" t="s">
        <v>169</v>
      </c>
      <c r="N28" s="13" t="s">
        <v>169</v>
      </c>
      <c r="O28" s="13" t="s">
        <v>169</v>
      </c>
      <c r="P28" s="13" t="s">
        <v>169</v>
      </c>
      <c r="Q28" s="13" t="s">
        <v>169</v>
      </c>
      <c r="R28" s="13" t="s">
        <v>169</v>
      </c>
      <c r="S28" s="13" t="s">
        <v>169</v>
      </c>
    </row>
    <row r="29" spans="1:19" ht="30" customHeight="1" x14ac:dyDescent="0.25">
      <c r="A29" s="49" t="s">
        <v>250</v>
      </c>
      <c r="B29" s="32" t="s">
        <v>251</v>
      </c>
      <c r="C29" s="4">
        <v>5</v>
      </c>
      <c r="D29" s="4" t="s">
        <v>176</v>
      </c>
      <c r="E29" s="4"/>
      <c r="F29" s="13" t="str">
        <f>_xlfn.XLOOKUP(B29,'Holiday Inn Express'!B:B,'Holiday Inn Express'!F:F,"",0,1)</f>
        <v>Self-paced Online Learning (1 Hour 30 Minutes).</v>
      </c>
      <c r="G29" s="13" t="s">
        <v>170</v>
      </c>
      <c r="H29" s="13" t="s">
        <v>170</v>
      </c>
      <c r="I29" s="13" t="s">
        <v>169</v>
      </c>
      <c r="J29" s="13" t="s">
        <v>169</v>
      </c>
      <c r="K29" s="13" t="s">
        <v>169</v>
      </c>
      <c r="L29" s="13" t="s">
        <v>169</v>
      </c>
      <c r="M29" s="13" t="s">
        <v>169</v>
      </c>
      <c r="N29" s="13" t="s">
        <v>169</v>
      </c>
      <c r="O29" s="13" t="s">
        <v>169</v>
      </c>
      <c r="P29" s="13" t="s">
        <v>169</v>
      </c>
      <c r="Q29" s="13" t="s">
        <v>169</v>
      </c>
      <c r="R29" s="13" t="s">
        <v>169</v>
      </c>
      <c r="S29" s="13" t="s">
        <v>169</v>
      </c>
    </row>
    <row r="30" spans="1:19" ht="30" customHeight="1" x14ac:dyDescent="0.25">
      <c r="A30" s="33" t="s">
        <v>107</v>
      </c>
      <c r="B30" s="17" t="s">
        <v>108</v>
      </c>
      <c r="C30" s="4">
        <f>_xlfn.XLOOKUP(B30,Lookups!G:G,Lookups!H:H,"",0,1)</f>
        <v>10</v>
      </c>
      <c r="D30" s="4" t="str">
        <f>_xlfn.XLOOKUP(C30,[1]Sheet2!$A$2:$A$11,[1]Sheet2!$B$2:$B$11,"Not found")</f>
        <v>Suggested Learning</v>
      </c>
      <c r="E30" s="4"/>
      <c r="F30" s="13" t="str">
        <f>_xlfn.XLOOKUP(B30,'Holiday Inn Express'!B:B,'Holiday Inn Express'!F:F,"",0,1)</f>
        <v>Self-paced Online Learning.</v>
      </c>
      <c r="G30" s="13" t="s">
        <v>170</v>
      </c>
      <c r="H30" s="13" t="s">
        <v>170</v>
      </c>
      <c r="I30" s="13" t="s">
        <v>169</v>
      </c>
      <c r="J30" s="13" t="s">
        <v>169</v>
      </c>
      <c r="K30" s="13" t="s">
        <v>169</v>
      </c>
      <c r="L30" s="13" t="s">
        <v>169</v>
      </c>
      <c r="M30" s="13" t="s">
        <v>169</v>
      </c>
      <c r="N30" s="13" t="s">
        <v>169</v>
      </c>
      <c r="O30" s="13" t="s">
        <v>169</v>
      </c>
      <c r="P30" s="13" t="s">
        <v>169</v>
      </c>
      <c r="Q30" s="13" t="s">
        <v>169</v>
      </c>
      <c r="R30" s="13" t="s">
        <v>169</v>
      </c>
      <c r="S30" s="13" t="s">
        <v>169</v>
      </c>
    </row>
    <row r="31" spans="1:19" ht="30" customHeight="1" x14ac:dyDescent="0.25">
      <c r="A31" s="33" t="s">
        <v>109</v>
      </c>
      <c r="B31" s="12" t="s">
        <v>110</v>
      </c>
      <c r="C31" s="4">
        <f>_xlfn.XLOOKUP(B31,Lookups!G:G,Lookups!H:H,"",0,1)</f>
        <v>6</v>
      </c>
      <c r="D31" s="4" t="str">
        <f>_xlfn.XLOOKUP(C31,[1]Sheet2!$A$2:$A$11,[1]Sheet2!$B$2:$B$11,"Not found")</f>
        <v>within 120 days</v>
      </c>
      <c r="E31" s="4"/>
      <c r="F31" s="13" t="str">
        <f>_xlfn.XLOOKUP(B31,'Holiday Inn Express'!B:B,'Holiday Inn Express'!F:F,"",0,1)</f>
        <v>In-person Instructor Led Course (see available dates &amp; times by clicking the link below). Prerequisite:  Must Complete Sales Learning Pathway</v>
      </c>
      <c r="G31" s="13" t="s">
        <v>170</v>
      </c>
      <c r="H31" s="13" t="s">
        <v>170</v>
      </c>
      <c r="I31" s="13" t="s">
        <v>169</v>
      </c>
      <c r="J31" s="13" t="s">
        <v>169</v>
      </c>
      <c r="K31" s="13" t="s">
        <v>169</v>
      </c>
      <c r="L31" s="13" t="s">
        <v>169</v>
      </c>
      <c r="M31" s="13" t="s">
        <v>169</v>
      </c>
      <c r="N31" s="13" t="s">
        <v>169</v>
      </c>
      <c r="O31" s="13" t="s">
        <v>169</v>
      </c>
      <c r="P31" s="13" t="s">
        <v>169</v>
      </c>
      <c r="Q31" s="13" t="s">
        <v>169</v>
      </c>
      <c r="R31" s="13" t="s">
        <v>169</v>
      </c>
      <c r="S31" s="13" t="s">
        <v>169</v>
      </c>
    </row>
    <row r="32" spans="1:19" ht="30" customHeight="1" x14ac:dyDescent="0.25">
      <c r="A32" s="33" t="s">
        <v>111</v>
      </c>
      <c r="B32" s="17" t="s">
        <v>112</v>
      </c>
      <c r="C32" s="4">
        <f>_xlfn.XLOOKUP(B32,Lookups!G:G,Lookups!H:H,"",0,1)</f>
        <v>10</v>
      </c>
      <c r="D32" s="4" t="str">
        <f>_xlfn.XLOOKUP(C32,[1]Sheet2!$A$2:$A$11,[1]Sheet2!$B$2:$B$11,"Not found")</f>
        <v>Suggested Learning</v>
      </c>
      <c r="E32" s="4"/>
      <c r="F32" s="13" t="str">
        <f>_xlfn.XLOOKUP(B32,'Holiday Inn Express'!B:B,'Holiday Inn Express'!F:F,"",0,1)</f>
        <v>Self-paced Online Learning.</v>
      </c>
      <c r="G32" s="13" t="s">
        <v>170</v>
      </c>
      <c r="H32" s="13" t="s">
        <v>169</v>
      </c>
      <c r="I32" s="13" t="s">
        <v>170</v>
      </c>
      <c r="J32" s="13" t="s">
        <v>169</v>
      </c>
      <c r="K32" s="13" t="s">
        <v>169</v>
      </c>
      <c r="L32" s="13" t="s">
        <v>169</v>
      </c>
      <c r="M32" s="13" t="s">
        <v>169</v>
      </c>
      <c r="N32" s="13" t="s">
        <v>169</v>
      </c>
      <c r="O32" s="13" t="s">
        <v>169</v>
      </c>
      <c r="P32" s="13" t="s">
        <v>169</v>
      </c>
      <c r="Q32" s="13" t="s">
        <v>169</v>
      </c>
      <c r="R32" s="13" t="s">
        <v>169</v>
      </c>
      <c r="S32" s="13" t="s">
        <v>169</v>
      </c>
    </row>
    <row r="33" spans="1:19" ht="30" customHeight="1" x14ac:dyDescent="0.25">
      <c r="A33" s="33" t="s">
        <v>113</v>
      </c>
      <c r="B33" s="17" t="s">
        <v>114</v>
      </c>
      <c r="C33" s="4">
        <f>_xlfn.XLOOKUP(B33,Lookups!G:G,Lookups!H:H,"",0,1)</f>
        <v>10</v>
      </c>
      <c r="D33" s="4" t="str">
        <f>_xlfn.XLOOKUP(C33,[1]Sheet2!$A$2:$A$11,[1]Sheet2!$B$2:$B$11,"Not found")</f>
        <v>Suggested Learning</v>
      </c>
      <c r="E33" s="4"/>
      <c r="F33" s="13" t="str">
        <f>_xlfn.XLOOKUP(B33,'Holiday Inn Express'!B:B,'Holiday Inn Express'!F:F,"",0,1)</f>
        <v>Self-paced Online Learning.</v>
      </c>
      <c r="G33" s="13" t="s">
        <v>170</v>
      </c>
      <c r="H33" s="13" t="s">
        <v>169</v>
      </c>
      <c r="I33" s="13" t="s">
        <v>170</v>
      </c>
      <c r="J33" s="13" t="s">
        <v>169</v>
      </c>
      <c r="K33" s="13" t="s">
        <v>169</v>
      </c>
      <c r="L33" s="13" t="s">
        <v>169</v>
      </c>
      <c r="M33" s="13" t="s">
        <v>169</v>
      </c>
      <c r="N33" s="13" t="s">
        <v>169</v>
      </c>
      <c r="O33" s="13" t="s">
        <v>169</v>
      </c>
      <c r="P33" s="13" t="s">
        <v>169</v>
      </c>
      <c r="Q33" s="13" t="s">
        <v>169</v>
      </c>
      <c r="R33" s="13" t="s">
        <v>169</v>
      </c>
      <c r="S33" s="13" t="s">
        <v>169</v>
      </c>
    </row>
    <row r="34" spans="1:19" ht="30" customHeight="1" x14ac:dyDescent="0.25">
      <c r="A34" s="33" t="s">
        <v>115</v>
      </c>
      <c r="B34" s="17" t="s">
        <v>116</v>
      </c>
      <c r="C34" s="4">
        <f>_xlfn.XLOOKUP(B34,Lookups!G:G,Lookups!H:H,"",0,1)</f>
        <v>10</v>
      </c>
      <c r="D34" s="4" t="str">
        <f>_xlfn.XLOOKUP(C34,[1]Sheet2!$A$2:$A$11,[1]Sheet2!$B$2:$B$11,"Not found")</f>
        <v>Suggested Learning</v>
      </c>
      <c r="E34" s="4"/>
      <c r="F34" s="13" t="str">
        <f>_xlfn.XLOOKUP(B34,'Holiday Inn Express'!B:B,'Holiday Inn Express'!F:F,"",0,1)</f>
        <v>Self-paced Online Learning.</v>
      </c>
      <c r="G34" s="13" t="s">
        <v>170</v>
      </c>
      <c r="H34" s="13" t="s">
        <v>169</v>
      </c>
      <c r="I34" s="13" t="s">
        <v>170</v>
      </c>
      <c r="J34" s="13" t="s">
        <v>169</v>
      </c>
      <c r="K34" s="13" t="s">
        <v>169</v>
      </c>
      <c r="L34" s="13" t="s">
        <v>169</v>
      </c>
      <c r="M34" s="13" t="s">
        <v>169</v>
      </c>
      <c r="N34" s="13" t="s">
        <v>169</v>
      </c>
      <c r="O34" s="13" t="s">
        <v>169</v>
      </c>
      <c r="P34" s="13" t="s">
        <v>169</v>
      </c>
      <c r="Q34" s="13" t="s">
        <v>169</v>
      </c>
      <c r="R34" s="13" t="s">
        <v>169</v>
      </c>
      <c r="S34" s="13" t="s">
        <v>169</v>
      </c>
    </row>
    <row r="35" spans="1:19" ht="30" customHeight="1" x14ac:dyDescent="0.25">
      <c r="A35" s="33" t="s">
        <v>117</v>
      </c>
      <c r="B35" s="17" t="s">
        <v>118</v>
      </c>
      <c r="C35" s="4">
        <f>_xlfn.XLOOKUP(B35,Lookups!G:G,Lookups!H:H,"",0,1)</f>
        <v>10</v>
      </c>
      <c r="D35" s="4" t="str">
        <f>_xlfn.XLOOKUP(C35,[1]Sheet2!$A$2:$A$11,[1]Sheet2!$B$2:$B$11,"Not found")</f>
        <v>Suggested Learning</v>
      </c>
      <c r="E35" s="4"/>
      <c r="F35" s="13" t="str">
        <f>_xlfn.XLOOKUP(B35,'Holiday Inn Express'!B:B,'Holiday Inn Express'!F:F,"",0,1)</f>
        <v>Self-paced Online Learning.</v>
      </c>
      <c r="G35" s="13" t="s">
        <v>170</v>
      </c>
      <c r="H35" s="13" t="s">
        <v>169</v>
      </c>
      <c r="I35" s="13" t="s">
        <v>170</v>
      </c>
      <c r="J35" s="13" t="s">
        <v>169</v>
      </c>
      <c r="K35" s="13" t="s">
        <v>169</v>
      </c>
      <c r="L35" s="13" t="s">
        <v>169</v>
      </c>
      <c r="M35" s="13" t="s">
        <v>169</v>
      </c>
      <c r="N35" s="13" t="s">
        <v>169</v>
      </c>
      <c r="O35" s="13" t="s">
        <v>169</v>
      </c>
      <c r="P35" s="13" t="s">
        <v>169</v>
      </c>
      <c r="Q35" s="13" t="s">
        <v>169</v>
      </c>
      <c r="R35" s="13" t="s">
        <v>169</v>
      </c>
      <c r="S35" s="13" t="s">
        <v>169</v>
      </c>
    </row>
    <row r="36" spans="1:19" ht="30" customHeight="1" x14ac:dyDescent="0.25">
      <c r="A36" s="33" t="s">
        <v>119</v>
      </c>
      <c r="B36" s="17" t="s">
        <v>120</v>
      </c>
      <c r="C36" s="4">
        <f>_xlfn.XLOOKUP(B36,Lookups!G:G,Lookups!H:H,"",0,1)</f>
        <v>10</v>
      </c>
      <c r="D36" s="4" t="str">
        <f>_xlfn.XLOOKUP(C36,[1]Sheet2!$A$2:$A$11,[1]Sheet2!$B$2:$B$11,"Not found")</f>
        <v>Suggested Learning</v>
      </c>
      <c r="E36" s="4"/>
      <c r="F36" s="13" t="str">
        <f>_xlfn.XLOOKUP(B36,'Holiday Inn Express'!B:B,'Holiday Inn Express'!F:F,"",0,1)</f>
        <v>Self-paced Online Learning.</v>
      </c>
      <c r="G36" s="13" t="s">
        <v>170</v>
      </c>
      <c r="H36" s="13" t="s">
        <v>169</v>
      </c>
      <c r="I36" s="13" t="s">
        <v>170</v>
      </c>
      <c r="J36" s="13" t="s">
        <v>169</v>
      </c>
      <c r="K36" s="13" t="s">
        <v>169</v>
      </c>
      <c r="L36" s="13" t="s">
        <v>169</v>
      </c>
      <c r="M36" s="13" t="s">
        <v>169</v>
      </c>
      <c r="N36" s="13" t="s">
        <v>169</v>
      </c>
      <c r="O36" s="13" t="s">
        <v>169</v>
      </c>
      <c r="P36" s="13" t="s">
        <v>169</v>
      </c>
      <c r="Q36" s="13" t="s">
        <v>169</v>
      </c>
      <c r="R36" s="13" t="s">
        <v>169</v>
      </c>
      <c r="S36" s="13" t="s">
        <v>169</v>
      </c>
    </row>
    <row r="37" spans="1:19" ht="30" customHeight="1" x14ac:dyDescent="0.25">
      <c r="A37" s="33" t="s">
        <v>121</v>
      </c>
      <c r="B37" s="17" t="s">
        <v>307</v>
      </c>
      <c r="C37" s="4">
        <f>_xlfn.XLOOKUP(B37,Lookups!G:G,Lookups!H:H,"",0,1)</f>
        <v>10</v>
      </c>
      <c r="D37" s="4" t="str">
        <f>_xlfn.XLOOKUP(C37,[1]Sheet2!$A$2:$A$11,[1]Sheet2!$B$2:$B$11,"Not found")</f>
        <v>Suggested Learning</v>
      </c>
      <c r="E37" s="4"/>
      <c r="F37" s="13" t="str">
        <f>_xlfn.XLOOKUP(B37,'Holiday Inn Express'!B:B,'Holiday Inn Express'!F:F,"",0,1)</f>
        <v>Self-paced Online Learning.</v>
      </c>
      <c r="G37" s="13" t="s">
        <v>170</v>
      </c>
      <c r="H37" s="13" t="s">
        <v>169</v>
      </c>
      <c r="I37" s="13" t="s">
        <v>170</v>
      </c>
      <c r="J37" s="13" t="s">
        <v>169</v>
      </c>
      <c r="K37" s="13" t="s">
        <v>169</v>
      </c>
      <c r="L37" s="13" t="s">
        <v>169</v>
      </c>
      <c r="M37" s="13" t="s">
        <v>169</v>
      </c>
      <c r="N37" s="13" t="s">
        <v>169</v>
      </c>
      <c r="O37" s="13" t="s">
        <v>169</v>
      </c>
      <c r="P37" s="13" t="s">
        <v>169</v>
      </c>
      <c r="Q37" s="13" t="s">
        <v>169</v>
      </c>
      <c r="R37" s="13" t="s">
        <v>169</v>
      </c>
      <c r="S37" s="13" t="s">
        <v>169</v>
      </c>
    </row>
    <row r="38" spans="1:19" ht="30" customHeight="1" x14ac:dyDescent="0.25">
      <c r="A38" s="33" t="s">
        <v>122</v>
      </c>
      <c r="B38" s="17" t="s">
        <v>123</v>
      </c>
      <c r="C38" s="4">
        <f>_xlfn.XLOOKUP(B38,Lookups!G:G,Lookups!H:H,"",0,1)</f>
        <v>5</v>
      </c>
      <c r="D38" s="4" t="str">
        <f>_xlfn.XLOOKUP(C38,[1]Sheet2!$A$2:$A$11,[1]Sheet2!$B$2:$B$11,"Not found")</f>
        <v>within 90 days</v>
      </c>
      <c r="E38" s="4"/>
      <c r="F38" s="13" t="str">
        <f>_xlfn.XLOOKUP(B38,'Holiday Inn Express'!B:B,'Holiday Inn Express'!F:F,"",0,1)</f>
        <v/>
      </c>
      <c r="G38" s="13" t="s">
        <v>169</v>
      </c>
      <c r="H38" s="13" t="s">
        <v>169</v>
      </c>
      <c r="I38" s="13" t="s">
        <v>170</v>
      </c>
      <c r="J38" s="13" t="s">
        <v>169</v>
      </c>
      <c r="K38" s="13" t="s">
        <v>169</v>
      </c>
      <c r="L38" s="13" t="s">
        <v>169</v>
      </c>
      <c r="M38" s="13" t="s">
        <v>169</v>
      </c>
      <c r="N38" s="13" t="s">
        <v>169</v>
      </c>
      <c r="O38" s="13" t="s">
        <v>169</v>
      </c>
      <c r="P38" s="13" t="s">
        <v>169</v>
      </c>
      <c r="Q38" s="13" t="s">
        <v>169</v>
      </c>
      <c r="R38" s="13" t="s">
        <v>169</v>
      </c>
      <c r="S38" s="13" t="s">
        <v>169</v>
      </c>
    </row>
    <row r="39" spans="1:19" ht="30" customHeight="1" x14ac:dyDescent="0.25">
      <c r="A39" s="30" t="s">
        <v>124</v>
      </c>
      <c r="B39" s="8" t="s">
        <v>238</v>
      </c>
      <c r="C39" s="4">
        <v>7</v>
      </c>
      <c r="D39" s="4" t="s">
        <v>178</v>
      </c>
      <c r="E39" s="4"/>
      <c r="F39" s="13" t="str">
        <f>_xlfn.XLOOKUP(B39,'Holiday Inn Express'!B:B,'Holiday Inn Express'!F:F,"",0,1)</f>
        <v>Access to the system will automatically be given. For New Hotels - only to be completed after official hotel opening.</v>
      </c>
      <c r="G39" s="13" t="s">
        <v>170</v>
      </c>
      <c r="H39" s="13" t="s">
        <v>169</v>
      </c>
      <c r="I39" s="13" t="s">
        <v>169</v>
      </c>
      <c r="J39" s="13" t="s">
        <v>169</v>
      </c>
      <c r="K39" s="13" t="s">
        <v>169</v>
      </c>
      <c r="L39" s="13" t="s">
        <v>169</v>
      </c>
      <c r="M39" s="13" t="s">
        <v>169</v>
      </c>
      <c r="N39" s="13" t="s">
        <v>169</v>
      </c>
      <c r="O39" s="13" t="s">
        <v>169</v>
      </c>
      <c r="P39" s="13" t="s">
        <v>169</v>
      </c>
      <c r="Q39" s="13" t="s">
        <v>169</v>
      </c>
      <c r="R39" s="13" t="s">
        <v>169</v>
      </c>
      <c r="S39" s="13" t="s">
        <v>169</v>
      </c>
    </row>
    <row r="40" spans="1:19" ht="30" customHeight="1" x14ac:dyDescent="0.25">
      <c r="A40" s="30" t="s">
        <v>125</v>
      </c>
      <c r="B40" s="8" t="s">
        <v>239</v>
      </c>
      <c r="C40" s="4">
        <v>7</v>
      </c>
      <c r="D40" s="4" t="s">
        <v>178</v>
      </c>
      <c r="E40" s="4"/>
      <c r="F40" s="13" t="str">
        <f>_xlfn.XLOOKUP(B40,'Holiday Inn Express'!B:B,'Holiday Inn Express'!F:F,"",0,1)</f>
        <v>Prerequisite: Must complete Onboarding Learning Plan</v>
      </c>
      <c r="G40" s="13" t="s">
        <v>170</v>
      </c>
      <c r="H40" s="13" t="s">
        <v>169</v>
      </c>
      <c r="I40" s="13" t="s">
        <v>169</v>
      </c>
      <c r="J40" s="13" t="s">
        <v>169</v>
      </c>
      <c r="K40" s="13" t="s">
        <v>169</v>
      </c>
      <c r="L40" s="13" t="s">
        <v>169</v>
      </c>
      <c r="M40" s="13" t="s">
        <v>169</v>
      </c>
      <c r="N40" s="13" t="s">
        <v>169</v>
      </c>
      <c r="O40" s="13" t="s">
        <v>169</v>
      </c>
      <c r="P40" s="13" t="s">
        <v>169</v>
      </c>
      <c r="Q40" s="13" t="s">
        <v>169</v>
      </c>
      <c r="R40" s="13" t="s">
        <v>169</v>
      </c>
      <c r="S40" s="13" t="s">
        <v>169</v>
      </c>
    </row>
    <row r="41" spans="1:19" ht="30" customHeight="1" x14ac:dyDescent="0.25">
      <c r="A41" s="33" t="s">
        <v>127</v>
      </c>
      <c r="B41" s="13" t="s">
        <v>128</v>
      </c>
      <c r="C41" s="4">
        <f>_xlfn.XLOOKUP(B41,Lookups!G:G,Lookups!H:H,"",0,1)</f>
        <v>10</v>
      </c>
      <c r="D41" s="4" t="str">
        <f>_xlfn.XLOOKUP(C41,[1]Sheet2!$A$2:$A$11,[1]Sheet2!$B$2:$B$11,"Not found")</f>
        <v>Suggested Learning</v>
      </c>
      <c r="E41" s="4"/>
      <c r="F41" s="13" t="str">
        <f>_xlfn.XLOOKUP(B41,'Holiday Inn Express'!B:B,'Holiday Inn Express'!F:F,"",0,1)</f>
        <v>Self-paced Online Learning (25 Minutes).</v>
      </c>
      <c r="G41" s="13" t="s">
        <v>170</v>
      </c>
      <c r="H41" s="18" t="s">
        <v>169</v>
      </c>
      <c r="I41" s="18" t="s">
        <v>169</v>
      </c>
      <c r="J41" s="18" t="s">
        <v>169</v>
      </c>
      <c r="K41" s="18" t="s">
        <v>169</v>
      </c>
      <c r="L41" s="18" t="s">
        <v>170</v>
      </c>
      <c r="M41" s="18" t="s">
        <v>169</v>
      </c>
      <c r="N41" s="18" t="s">
        <v>169</v>
      </c>
      <c r="O41" s="18" t="s">
        <v>169</v>
      </c>
      <c r="P41" s="18" t="s">
        <v>169</v>
      </c>
      <c r="Q41" s="18" t="s">
        <v>169</v>
      </c>
      <c r="R41" s="18" t="s">
        <v>169</v>
      </c>
      <c r="S41" s="18" t="s">
        <v>169</v>
      </c>
    </row>
    <row r="42" spans="1:19" ht="30" customHeight="1" x14ac:dyDescent="0.25">
      <c r="A42" s="30" t="s">
        <v>129</v>
      </c>
      <c r="B42" s="17" t="s">
        <v>130</v>
      </c>
      <c r="C42" s="4">
        <f>_xlfn.XLOOKUP(B42,Lookups!G:G,Lookups!H:H,"",0,1)</f>
        <v>10</v>
      </c>
      <c r="D42" s="4" t="str">
        <f>_xlfn.XLOOKUP(C42,[1]Sheet2!$A$2:$A$11,[1]Sheet2!$B$2:$B$11,"Not found")</f>
        <v>Suggested Learning</v>
      </c>
      <c r="E42" s="4"/>
      <c r="F42" s="13" t="str">
        <f>_xlfn.XLOOKUP(B42,'Holiday Inn Express'!B:B,'Holiday Inn Express'!F:F,"",0,1)</f>
        <v>Self-paced Online Learning (25 Minutes).</v>
      </c>
      <c r="G42" s="18" t="s">
        <v>169</v>
      </c>
      <c r="H42" s="18" t="s">
        <v>169</v>
      </c>
      <c r="I42" s="18" t="s">
        <v>169</v>
      </c>
      <c r="J42" s="18" t="s">
        <v>169</v>
      </c>
      <c r="K42" s="18" t="s">
        <v>169</v>
      </c>
      <c r="L42" s="18" t="s">
        <v>169</v>
      </c>
      <c r="M42" s="18" t="s">
        <v>169</v>
      </c>
      <c r="N42" s="18" t="s">
        <v>169</v>
      </c>
      <c r="O42" s="18" t="s">
        <v>169</v>
      </c>
      <c r="P42" s="18" t="s">
        <v>170</v>
      </c>
      <c r="Q42" s="18" t="s">
        <v>169</v>
      </c>
      <c r="R42" s="18" t="s">
        <v>169</v>
      </c>
      <c r="S42" s="18" t="s">
        <v>169</v>
      </c>
    </row>
    <row r="43" spans="1:19" ht="30" customHeight="1" x14ac:dyDescent="0.25">
      <c r="A43" s="33" t="s">
        <v>133</v>
      </c>
      <c r="B43" s="12" t="s">
        <v>134</v>
      </c>
      <c r="C43" s="4">
        <f>_xlfn.XLOOKUP(B43,Lookups!G:G,Lookups!H:H,"",0,1)</f>
        <v>10</v>
      </c>
      <c r="D43" s="4" t="str">
        <f>_xlfn.XLOOKUP(C43,[1]Sheet2!$A$2:$A$11,[1]Sheet2!$B$2:$B$11,"Not found")</f>
        <v>Suggested Learning</v>
      </c>
      <c r="E43" s="4"/>
      <c r="F43" s="13" t="str">
        <f>_xlfn.XLOOKUP(B43,voco!B:B,voco!F:F,"",0,1)</f>
        <v>Self-paced Online Learning (15 Minutes).</v>
      </c>
      <c r="G43" s="18" t="s">
        <v>169</v>
      </c>
      <c r="H43" s="18" t="s">
        <v>169</v>
      </c>
      <c r="I43" s="18" t="s">
        <v>169</v>
      </c>
      <c r="J43" s="18" t="s">
        <v>169</v>
      </c>
      <c r="K43" s="18" t="s">
        <v>169</v>
      </c>
      <c r="L43" s="18" t="s">
        <v>170</v>
      </c>
      <c r="M43" s="18" t="s">
        <v>169</v>
      </c>
      <c r="N43" s="18" t="s">
        <v>169</v>
      </c>
      <c r="O43" s="18" t="s">
        <v>169</v>
      </c>
      <c r="P43" s="18" t="s">
        <v>170</v>
      </c>
      <c r="Q43" s="18" t="s">
        <v>169</v>
      </c>
      <c r="R43" s="18" t="s">
        <v>169</v>
      </c>
      <c r="S43" s="18" t="s">
        <v>169</v>
      </c>
    </row>
    <row r="44" spans="1:19" ht="30" customHeight="1" x14ac:dyDescent="0.25">
      <c r="A44" s="34" t="s">
        <v>135</v>
      </c>
      <c r="B44" s="17" t="s">
        <v>136</v>
      </c>
      <c r="C44" s="4">
        <f>_xlfn.XLOOKUP(B44,Lookups!G:G,Lookups!H:H,"",0,1)</f>
        <v>10</v>
      </c>
      <c r="D44" s="4" t="str">
        <f>_xlfn.XLOOKUP(C44,[1]Sheet2!$A$2:$A$11,[1]Sheet2!$B$2:$B$11,"Not found")</f>
        <v>Suggested Learning</v>
      </c>
      <c r="E44" s="4"/>
      <c r="F44" s="13" t="str">
        <f>_xlfn.XLOOKUP(B44,voco!B:B,voco!F:F,"",0,1)</f>
        <v>Self-paced Online Learning (15 Minutes).</v>
      </c>
      <c r="G44" s="18" t="s">
        <v>169</v>
      </c>
      <c r="H44" s="18" t="s">
        <v>169</v>
      </c>
      <c r="I44" s="18" t="s">
        <v>169</v>
      </c>
      <c r="J44" s="18" t="s">
        <v>169</v>
      </c>
      <c r="K44" s="18" t="s">
        <v>169</v>
      </c>
      <c r="L44" s="18" t="s">
        <v>170</v>
      </c>
      <c r="M44" s="18" t="s">
        <v>169</v>
      </c>
      <c r="N44" s="18" t="s">
        <v>169</v>
      </c>
      <c r="O44" s="18" t="s">
        <v>169</v>
      </c>
      <c r="P44" s="18" t="s">
        <v>170</v>
      </c>
      <c r="Q44" s="18" t="s">
        <v>169</v>
      </c>
      <c r="R44" s="18" t="s">
        <v>169</v>
      </c>
      <c r="S44" s="18" t="s">
        <v>169</v>
      </c>
    </row>
    <row r="45" spans="1:19" ht="30" customHeight="1" x14ac:dyDescent="0.25">
      <c r="A45" s="34" t="s">
        <v>137</v>
      </c>
      <c r="B45" s="17" t="s">
        <v>138</v>
      </c>
      <c r="C45" s="4">
        <f>_xlfn.XLOOKUP(B45,Lookups!G:G,Lookups!H:H,"",0,1)</f>
        <v>10</v>
      </c>
      <c r="D45" s="4" t="str">
        <f>_xlfn.XLOOKUP(C45,[1]Sheet2!$A$2:$A$11,[1]Sheet2!$B$2:$B$11,"Not found")</f>
        <v>Suggested Learning</v>
      </c>
      <c r="E45" s="4"/>
      <c r="F45" s="13" t="str">
        <f>_xlfn.XLOOKUP(B45,voco!B:B,voco!F:F,"",0,1)</f>
        <v>Self-paced Online Learning.</v>
      </c>
      <c r="G45" s="18" t="s">
        <v>169</v>
      </c>
      <c r="H45" s="18" t="s">
        <v>169</v>
      </c>
      <c r="I45" s="18" t="s">
        <v>169</v>
      </c>
      <c r="J45" s="18" t="s">
        <v>169</v>
      </c>
      <c r="K45" s="18" t="s">
        <v>169</v>
      </c>
      <c r="L45" s="18" t="s">
        <v>170</v>
      </c>
      <c r="M45" s="18" t="s">
        <v>169</v>
      </c>
      <c r="N45" s="18" t="s">
        <v>169</v>
      </c>
      <c r="O45" s="18" t="s">
        <v>169</v>
      </c>
      <c r="P45" s="18" t="s">
        <v>170</v>
      </c>
      <c r="Q45" s="18" t="s">
        <v>169</v>
      </c>
      <c r="R45" s="18" t="s">
        <v>169</v>
      </c>
      <c r="S45" s="18" t="s">
        <v>169</v>
      </c>
    </row>
    <row r="46" spans="1:19" ht="30" customHeight="1" x14ac:dyDescent="0.25">
      <c r="A46" s="34" t="s">
        <v>152</v>
      </c>
      <c r="B46" s="17" t="s">
        <v>151</v>
      </c>
      <c r="C46" s="4">
        <f>_xlfn.XLOOKUP(B46,Lookups!G:G,Lookups!H:H,"",0,1)</f>
        <v>10</v>
      </c>
      <c r="D46" s="4" t="str">
        <f>_xlfn.XLOOKUP(C46,[1]Sheet2!$A$2:$A$11,[1]Sheet2!$B$2:$B$11,"Not found")</f>
        <v>Suggested Learning</v>
      </c>
      <c r="E46" s="4"/>
      <c r="F46" s="13" t="str">
        <f>_xlfn.XLOOKUP(B46,voco!B:B,voco!F:F,"",0,1)</f>
        <v>Self-paced Online Learning (30 Minutes).</v>
      </c>
      <c r="G46" s="18" t="s">
        <v>169</v>
      </c>
      <c r="H46" s="18" t="s">
        <v>169</v>
      </c>
      <c r="I46" s="18" t="s">
        <v>169</v>
      </c>
      <c r="J46" s="18" t="s">
        <v>169</v>
      </c>
      <c r="K46" s="18" t="s">
        <v>169</v>
      </c>
      <c r="L46" s="18" t="s">
        <v>170</v>
      </c>
      <c r="M46" s="18" t="s">
        <v>169</v>
      </c>
      <c r="N46" s="18" t="s">
        <v>169</v>
      </c>
      <c r="O46" s="18" t="s">
        <v>169</v>
      </c>
      <c r="P46" s="18" t="s">
        <v>170</v>
      </c>
      <c r="Q46" s="18" t="s">
        <v>169</v>
      </c>
      <c r="R46" s="18" t="s">
        <v>169</v>
      </c>
      <c r="S46" s="18" t="s">
        <v>169</v>
      </c>
    </row>
    <row r="47" spans="1:19" ht="30" customHeight="1" x14ac:dyDescent="0.25">
      <c r="A47" s="80" t="s">
        <v>271</v>
      </c>
      <c r="B47" s="40" t="s">
        <v>272</v>
      </c>
      <c r="C47" s="41">
        <v>10</v>
      </c>
      <c r="D47" s="4" t="str">
        <f>_xlfn.XLOOKUP(C47,[1]Sheet2!$A$2:$A$11,[1]Sheet2!$B$2:$B$11,"Not found")</f>
        <v>Suggested Learning</v>
      </c>
      <c r="E47" s="41"/>
      <c r="F47" s="13" t="str">
        <f>_xlfn.XLOOKUP(B47,'Holiday Inn Express'!B:B,'Holiday Inn Express'!F:F,"",0,1)</f>
        <v/>
      </c>
      <c r="G47" s="44"/>
      <c r="H47" s="44"/>
      <c r="I47" s="44"/>
      <c r="J47" s="44"/>
      <c r="K47" s="44"/>
      <c r="L47" s="44" t="s">
        <v>170</v>
      </c>
      <c r="M47" s="44"/>
      <c r="N47" s="44"/>
      <c r="O47" s="44"/>
      <c r="P47" s="44" t="s">
        <v>170</v>
      </c>
      <c r="Q47" s="44"/>
      <c r="R47" s="44"/>
      <c r="S47" s="44"/>
    </row>
  </sheetData>
  <hyperlinks>
    <hyperlink ref="B2" r:id="rId1" display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xr:uid="{9C184F64-FEBC-40D5-9EC0-5CEDCE5A9318}"/>
    <hyperlink ref="B11" r:id="rId2" display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xr:uid="{FB04599C-9640-4F3E-9706-6A994385D769}"/>
    <hyperlink ref="B9" r:id="rId3" display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xr:uid="{1D38526B-1E2A-487D-A1E0-52F845EEAAF8}"/>
    <hyperlink ref="B31" r:id="rId4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C5DC638A-63A6-4E29-AD01-5F44F9911DC7}"/>
    <hyperlink ref="B12" r:id="rId5" xr:uid="{883781B5-51EE-4AF6-AFD9-85BA24C5D84A}"/>
    <hyperlink ref="B14" r:id="rId6" xr:uid="{D63D546F-B304-40CE-9A54-E4DF04033DB0}"/>
    <hyperlink ref="B15" r:id="rId7" xr:uid="{2DEB9FC7-861D-49ED-81D7-29DDAAC63D23}"/>
    <hyperlink ref="B16" r:id="rId8" xr:uid="{0D16157F-3C36-4C70-B63F-98DFEA980CCE}"/>
    <hyperlink ref="B17" r:id="rId9" xr:uid="{8702B68A-2CB7-41B2-A180-08A00518039C}"/>
    <hyperlink ref="B18" r:id="rId10" xr:uid="{5C9C8AF3-EDC2-437A-A47F-FEC05AA2D3A7}"/>
    <hyperlink ref="B27" r:id="rId11" xr:uid="{8F34CEF7-C910-46B6-97A6-795DC1981E4D}"/>
    <hyperlink ref="B26" r:id="rId12" xr:uid="{7FE65875-E1D9-43DA-8CAD-9FD0DF938677}"/>
    <hyperlink ref="B25" r:id="rId13" xr:uid="{3E62F937-126A-499A-9B4D-519071C7B059}"/>
    <hyperlink ref="B24" r:id="rId14" xr:uid="{7EDC5BF6-7D66-4ABF-9596-5A32C9859287}"/>
    <hyperlink ref="B23" r:id="rId15" xr:uid="{8F44BFEB-29AA-45A2-A677-9766A6F29CDF}"/>
    <hyperlink ref="B22" r:id="rId16" xr:uid="{B651DAA0-4DB4-4CB1-A67D-576F2BA0892F}"/>
    <hyperlink ref="B21" r:id="rId17" xr:uid="{F153C946-B444-407D-9017-3885147C7197}"/>
    <hyperlink ref="B28" r:id="rId18" xr:uid="{0D33F912-E30A-4BCA-8C7E-61C267BC2F3A}"/>
    <hyperlink ref="B30" r:id="rId19" xr:uid="{F1E24CEB-6BF5-4B89-B0C2-7BE88EF24B0D}"/>
    <hyperlink ref="B32" r:id="rId20" xr:uid="{0E6AEB8D-CBC7-461D-A018-513009FFDBAE}"/>
    <hyperlink ref="B33" r:id="rId21" xr:uid="{8F019A5D-BD07-4650-9871-40D89B2B7EF8}"/>
    <hyperlink ref="B13" r:id="rId22" xr:uid="{50BDE9B7-DDEF-4B91-B738-788988EAA1A6}"/>
    <hyperlink ref="B38" r:id="rId23" xr:uid="{B02F156E-0756-417B-9B75-51FA006F8652}"/>
    <hyperlink ref="B34" r:id="rId24" xr:uid="{E86C4358-ADFD-4309-AC44-FAC28AAFECC2}"/>
    <hyperlink ref="B35" r:id="rId25" xr:uid="{95FAB6D9-1AE8-458B-A8E1-8AEC8392BEAE}"/>
    <hyperlink ref="B36" r:id="rId26" xr:uid="{BFA7015C-0094-43E2-9B37-42B997706AEB}"/>
    <hyperlink ref="B41" r:id="rId27" xr:uid="{1F0899D4-0BAC-48FC-85B7-FF8B8B8BC03A}"/>
    <hyperlink ref="B42" r:id="rId28" xr:uid="{856121AA-6F1B-4026-9F56-AD20C7BC8005}"/>
    <hyperlink ref="B43" r:id="rId29" xr:uid="{4479EE0A-6637-4024-A563-EDF1038E2449}"/>
    <hyperlink ref="B44" r:id="rId30" xr:uid="{A20B327E-B4F8-4046-8AB9-90BE18A77978}"/>
    <hyperlink ref="B45" r:id="rId31" xr:uid="{F89853FC-6FF8-4BF1-8352-1F334095CDFE}"/>
    <hyperlink ref="B46" r:id="rId32" xr:uid="{2DCE15EB-57B4-41E0-AC1D-F4B3D768092D}"/>
    <hyperlink ref="B19" r:id="rId33" xr:uid="{30B050A7-3BDC-406F-BFB2-C2942279E44F}"/>
    <hyperlink ref="B20" r:id="rId34" xr:uid="{380A8DFC-6475-4C19-AF0E-68F8A2229810}"/>
    <hyperlink ref="B39" r:id="rId35" xr:uid="{087976A9-290C-4F16-A581-7B4D01F0C90F}"/>
    <hyperlink ref="B40" r:id="rId36" xr:uid="{7503784B-8EE1-4C0C-AD2D-38B2647A9913}"/>
    <hyperlink ref="B47" r:id="rId37" xr:uid="{59536011-B218-4CDD-B0BC-134F1E77D464}"/>
    <hyperlink ref="B10" r:id="rId38" xr:uid="{117F883F-9E58-4A90-9C67-64831EDAAF8F}"/>
    <hyperlink ref="B29" r:id="rId39" xr:uid="{86C36366-AF8F-45F0-891F-CEF9CF83EC02}"/>
    <hyperlink ref="B3" r:id="rId40" xr:uid="{D9E3C134-8E49-49E6-9022-81DC37F7108A}"/>
    <hyperlink ref="B8" r:id="rId41" display="Hotel Experience Champion Guide" xr:uid="{BC303A51-4ED7-45A4-902E-7E743C497104}"/>
    <hyperlink ref="B4" r:id="rId42" display="Managed Hotel - Leaders Guide" xr:uid="{0C61FA87-2D73-4F1A-88F0-3F03459D01B2}"/>
    <hyperlink ref="B5" r:id="rId43" xr:uid="{6016CC03-AE4B-409E-815A-39C9D2889530}"/>
    <hyperlink ref="B6" r:id="rId44" xr:uid="{6D3F1A29-C92A-4338-BEF5-8CD24A076AD1}"/>
    <hyperlink ref="B7" r:id="rId45" xr:uid="{0EDC1E92-89EE-4446-9E13-8E9AA16DF08B}"/>
    <hyperlink ref="B37" r:id="rId46" display="IHG53503" xr:uid="{3E415A4B-4035-4AD7-991C-A4EE340C6142}"/>
  </hyperlinks>
  <pageMargins left="0.7" right="0.7" top="0.75" bottom="0.75" header="0.3" footer="0.3"/>
  <pageSetup orientation="portrait" r:id="rId4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5F5FD-E566-40E4-B0CF-9C3FAA343E57}">
  <sheetPr codeName="Sheet15">
    <tabColor rgb="FF3D3935"/>
  </sheetPr>
  <dimension ref="A1:KK49"/>
  <sheetViews>
    <sheetView zoomScale="85" zoomScaleNormal="85" workbookViewId="0">
      <pane ySplit="1" topLeftCell="A2" activePane="bottomLeft" state="frozen"/>
      <selection activeCell="B1" sqref="B1:B1048576"/>
      <selection pane="bottomLeft" activeCell="B1" sqref="B1:B1048576"/>
    </sheetView>
  </sheetViews>
  <sheetFormatPr defaultRowHeight="30" customHeight="1" x14ac:dyDescent="0.25"/>
  <cols>
    <col min="1" max="1" width="48.7109375" style="76" customWidth="1"/>
    <col min="2" max="2" width="16.7109375" style="78" customWidth="1"/>
    <col min="3" max="5" width="22.7109375" style="9" customWidth="1"/>
    <col min="6" max="6" width="31.7109375" style="78" customWidth="1"/>
    <col min="7" max="19" width="19.5703125" style="28" customWidth="1"/>
    <col min="20" max="24" width="9.140625" style="28"/>
    <col min="25" max="16384" width="9.140625" style="24"/>
  </cols>
  <sheetData>
    <row r="1" spans="1:297" ht="30" customHeight="1" x14ac:dyDescent="0.25">
      <c r="A1" s="33" t="s">
        <v>186</v>
      </c>
      <c r="B1" s="13" t="s">
        <v>50</v>
      </c>
      <c r="C1" s="4" t="s">
        <v>182</v>
      </c>
      <c r="D1" s="4" t="s">
        <v>183</v>
      </c>
      <c r="E1" s="4" t="s">
        <v>184</v>
      </c>
      <c r="F1" s="13" t="s">
        <v>51</v>
      </c>
      <c r="G1" s="13" t="s">
        <v>52</v>
      </c>
      <c r="H1" s="13" t="s">
        <v>53</v>
      </c>
      <c r="I1" s="13" t="s">
        <v>54</v>
      </c>
      <c r="J1" s="13" t="s">
        <v>55</v>
      </c>
      <c r="K1" s="13" t="s">
        <v>56</v>
      </c>
      <c r="L1" s="13" t="s">
        <v>57</v>
      </c>
      <c r="M1" s="13" t="s">
        <v>58</v>
      </c>
      <c r="N1" s="13" t="s">
        <v>59</v>
      </c>
      <c r="O1" s="13" t="s">
        <v>60</v>
      </c>
      <c r="P1" s="13" t="s">
        <v>61</v>
      </c>
      <c r="Q1" s="13" t="s">
        <v>62</v>
      </c>
      <c r="R1" s="13" t="s">
        <v>63</v>
      </c>
      <c r="S1" s="13" t="s">
        <v>64</v>
      </c>
      <c r="T1" s="79"/>
      <c r="U1" s="79"/>
      <c r="V1" s="79"/>
      <c r="W1" s="79"/>
      <c r="X1" s="79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  <c r="BG1" s="75"/>
      <c r="BH1" s="75"/>
      <c r="BI1" s="75"/>
      <c r="BJ1" s="75"/>
      <c r="BK1" s="75"/>
      <c r="BL1" s="75"/>
      <c r="BM1" s="75"/>
      <c r="BN1" s="75"/>
      <c r="BO1" s="75"/>
      <c r="BP1" s="75"/>
      <c r="BQ1" s="75"/>
      <c r="BR1" s="75"/>
      <c r="BS1" s="75"/>
      <c r="BT1" s="75"/>
      <c r="BU1" s="75"/>
      <c r="BV1" s="75"/>
      <c r="BW1" s="75"/>
      <c r="BX1" s="75"/>
      <c r="BY1" s="75"/>
      <c r="BZ1" s="75"/>
      <c r="CA1" s="75"/>
      <c r="CB1" s="75"/>
      <c r="CC1" s="75"/>
      <c r="CD1" s="75"/>
      <c r="CE1" s="75"/>
      <c r="CF1" s="75"/>
      <c r="CG1" s="75"/>
      <c r="CH1" s="75"/>
      <c r="CI1" s="75"/>
      <c r="CJ1" s="75"/>
      <c r="CK1" s="75"/>
      <c r="CL1" s="75"/>
      <c r="CM1" s="75"/>
      <c r="CN1" s="75"/>
      <c r="CO1" s="75"/>
      <c r="CP1" s="75"/>
      <c r="CQ1" s="75"/>
      <c r="CR1" s="75"/>
      <c r="CS1" s="75"/>
      <c r="CT1" s="75"/>
      <c r="CU1" s="75"/>
      <c r="CV1" s="75"/>
      <c r="CW1" s="75"/>
      <c r="CX1" s="75"/>
      <c r="CY1" s="75"/>
      <c r="CZ1" s="75"/>
      <c r="DA1" s="75"/>
      <c r="DB1" s="75"/>
      <c r="DC1" s="75"/>
      <c r="DD1" s="75"/>
      <c r="DE1" s="75"/>
      <c r="DF1" s="75"/>
      <c r="DG1" s="75"/>
      <c r="DH1" s="75"/>
      <c r="DI1" s="75"/>
      <c r="DJ1" s="75"/>
      <c r="DK1" s="75"/>
      <c r="DL1" s="75"/>
      <c r="DM1" s="75"/>
      <c r="DN1" s="75"/>
      <c r="DO1" s="75"/>
      <c r="DP1" s="75"/>
      <c r="DQ1" s="75"/>
      <c r="DR1" s="75"/>
      <c r="DS1" s="75"/>
      <c r="DT1" s="75"/>
      <c r="DU1" s="75"/>
      <c r="DV1" s="75"/>
      <c r="DW1" s="75"/>
      <c r="DX1" s="75"/>
      <c r="DY1" s="75"/>
      <c r="DZ1" s="75"/>
      <c r="EA1" s="75"/>
      <c r="EB1" s="75"/>
      <c r="EC1" s="75"/>
      <c r="ED1" s="75"/>
      <c r="EE1" s="75"/>
      <c r="EF1" s="75"/>
      <c r="EG1" s="75"/>
      <c r="EH1" s="75"/>
      <c r="EI1" s="75"/>
      <c r="EJ1" s="75"/>
      <c r="EK1" s="75"/>
      <c r="EL1" s="75"/>
      <c r="EM1" s="75"/>
      <c r="EN1" s="75"/>
      <c r="EO1" s="75"/>
      <c r="EP1" s="75"/>
      <c r="EQ1" s="75"/>
      <c r="ER1" s="75"/>
      <c r="ES1" s="75"/>
      <c r="ET1" s="75"/>
      <c r="EU1" s="75"/>
      <c r="EV1" s="75"/>
      <c r="EW1" s="75"/>
      <c r="EX1" s="75"/>
      <c r="EY1" s="75"/>
      <c r="EZ1" s="75"/>
      <c r="FA1" s="75"/>
      <c r="FB1" s="75"/>
      <c r="FC1" s="75"/>
      <c r="FD1" s="75"/>
      <c r="FE1" s="75"/>
      <c r="FF1" s="75"/>
      <c r="FG1" s="75"/>
      <c r="FH1" s="75"/>
      <c r="FI1" s="75"/>
      <c r="FJ1" s="75"/>
      <c r="FK1" s="75"/>
      <c r="FL1" s="75"/>
      <c r="FM1" s="75"/>
      <c r="FN1" s="75"/>
      <c r="FO1" s="75"/>
      <c r="FP1" s="75"/>
      <c r="FQ1" s="75"/>
      <c r="FR1" s="75"/>
      <c r="FS1" s="75"/>
      <c r="FT1" s="75"/>
      <c r="FU1" s="75"/>
      <c r="FV1" s="75"/>
      <c r="FW1" s="75"/>
      <c r="FX1" s="75"/>
      <c r="FY1" s="75"/>
      <c r="FZ1" s="75"/>
      <c r="GA1" s="75"/>
      <c r="GB1" s="75"/>
      <c r="GC1" s="75"/>
      <c r="GD1" s="75"/>
      <c r="GE1" s="75"/>
      <c r="GF1" s="75"/>
      <c r="GG1" s="75"/>
      <c r="GH1" s="75"/>
      <c r="GI1" s="75"/>
      <c r="GJ1" s="75"/>
      <c r="GK1" s="75"/>
      <c r="GL1" s="75"/>
      <c r="GM1" s="75"/>
      <c r="GN1" s="75"/>
      <c r="GO1" s="75"/>
      <c r="GP1" s="75"/>
      <c r="GQ1" s="75"/>
      <c r="GR1" s="75"/>
      <c r="GS1" s="75"/>
      <c r="GT1" s="75"/>
      <c r="GU1" s="75"/>
      <c r="GV1" s="75"/>
      <c r="GW1" s="75"/>
      <c r="GX1" s="75"/>
      <c r="GY1" s="75"/>
      <c r="GZ1" s="75"/>
      <c r="HA1" s="75"/>
      <c r="HB1" s="75"/>
      <c r="HC1" s="75"/>
      <c r="HD1" s="75"/>
      <c r="HE1" s="75"/>
      <c r="HF1" s="75"/>
      <c r="HG1" s="75"/>
      <c r="HH1" s="75"/>
      <c r="HI1" s="75"/>
      <c r="HJ1" s="75"/>
      <c r="HK1" s="75"/>
      <c r="HL1" s="75"/>
      <c r="HM1" s="75"/>
      <c r="HN1" s="75"/>
      <c r="HO1" s="75"/>
      <c r="HP1" s="75"/>
      <c r="HQ1" s="75"/>
      <c r="HR1" s="75"/>
      <c r="HS1" s="75"/>
      <c r="HT1" s="75"/>
      <c r="HU1" s="75"/>
      <c r="HV1" s="75"/>
      <c r="HW1" s="75"/>
      <c r="HX1" s="75"/>
      <c r="HY1" s="75"/>
      <c r="HZ1" s="75"/>
      <c r="IA1" s="75"/>
      <c r="IB1" s="75"/>
      <c r="IC1" s="75"/>
      <c r="ID1" s="75"/>
      <c r="IE1" s="75"/>
      <c r="IF1" s="75"/>
      <c r="IG1" s="75"/>
      <c r="IH1" s="75"/>
      <c r="II1" s="75"/>
      <c r="IJ1" s="75"/>
      <c r="IK1" s="75"/>
      <c r="IL1" s="75"/>
      <c r="IM1" s="75"/>
      <c r="IN1" s="75"/>
      <c r="IO1" s="75"/>
      <c r="IP1" s="75"/>
      <c r="IQ1" s="75"/>
      <c r="IR1" s="75"/>
      <c r="IS1" s="75"/>
      <c r="IT1" s="75"/>
      <c r="IU1" s="75"/>
      <c r="IV1" s="75"/>
      <c r="IW1" s="75"/>
      <c r="IX1" s="75"/>
      <c r="IY1" s="75"/>
      <c r="IZ1" s="75"/>
      <c r="JA1" s="75"/>
      <c r="JB1" s="75"/>
      <c r="JC1" s="75"/>
      <c r="JD1" s="75"/>
      <c r="JE1" s="75"/>
      <c r="JF1" s="75"/>
      <c r="JG1" s="75"/>
      <c r="JH1" s="75"/>
      <c r="JI1" s="75"/>
      <c r="JJ1" s="75"/>
      <c r="JK1" s="75"/>
      <c r="JL1" s="75"/>
      <c r="JM1" s="75"/>
      <c r="JN1" s="75"/>
      <c r="JO1" s="75"/>
      <c r="JP1" s="75"/>
      <c r="JQ1" s="75"/>
      <c r="JR1" s="75"/>
      <c r="JS1" s="75"/>
      <c r="JT1" s="75"/>
      <c r="JU1" s="75"/>
      <c r="JV1" s="75"/>
      <c r="JW1" s="75"/>
      <c r="JX1" s="75"/>
      <c r="JY1" s="75"/>
      <c r="JZ1" s="75"/>
      <c r="KA1" s="75"/>
      <c r="KB1" s="75"/>
      <c r="KC1" s="75"/>
      <c r="KD1" s="75"/>
      <c r="KE1" s="75"/>
      <c r="KF1" s="75"/>
      <c r="KG1" s="75"/>
      <c r="KH1" s="75"/>
      <c r="KI1" s="75"/>
      <c r="KJ1" s="75"/>
      <c r="KK1" s="75"/>
    </row>
    <row r="2" spans="1:297" ht="30" customHeight="1" x14ac:dyDescent="0.25">
      <c r="A2" s="30" t="s">
        <v>65</v>
      </c>
      <c r="B2" s="12" t="s">
        <v>66</v>
      </c>
      <c r="C2" s="4">
        <f>_xlfn.XLOOKUP(B2,Lookups!G:G,Lookups!H:H,"",0,1)</f>
        <v>3</v>
      </c>
      <c r="D2" s="4" t="str">
        <f>_xlfn.XLOOKUP(C2,[1]Sheet2!$A$2:$A$11,[1]Sheet2!$B$2:$B$11,"Not found")</f>
        <v>within 30 days</v>
      </c>
      <c r="E2" s="4"/>
      <c r="F2" s="13" t="str">
        <f>_xlfn.XLOOKUP(B2,'Holiday Inn Express'!B:B,'Holiday Inn Express'!F:F,"",0,1)</f>
        <v xml:space="preserve">Self-paced Online Learning (1 Hour 15 Minutes). Hotel-led in-person training (On-Job-Training, OJT) is permitted &amp; completions must be tracked in myLearning. </v>
      </c>
      <c r="G2" s="13" t="s">
        <v>170</v>
      </c>
      <c r="H2" s="13" t="s">
        <v>170</v>
      </c>
      <c r="I2" s="13" t="s">
        <v>170</v>
      </c>
      <c r="J2" s="13" t="s">
        <v>170</v>
      </c>
      <c r="K2" s="13" t="s">
        <v>170</v>
      </c>
      <c r="L2" s="13" t="s">
        <v>170</v>
      </c>
      <c r="M2" s="13" t="s">
        <v>170</v>
      </c>
      <c r="N2" s="13" t="s">
        <v>170</v>
      </c>
      <c r="O2" s="13" t="s">
        <v>170</v>
      </c>
      <c r="P2" s="13" t="s">
        <v>170</v>
      </c>
      <c r="Q2" s="13" t="s">
        <v>170</v>
      </c>
      <c r="R2" s="13" t="s">
        <v>170</v>
      </c>
      <c r="S2" s="13" t="s">
        <v>170</v>
      </c>
      <c r="T2" s="79"/>
      <c r="U2" s="79"/>
      <c r="V2" s="79"/>
      <c r="W2" s="79"/>
      <c r="X2" s="79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  <c r="BM2" s="75"/>
      <c r="BN2" s="75"/>
      <c r="BO2" s="75"/>
      <c r="BP2" s="75"/>
      <c r="BQ2" s="75"/>
      <c r="BR2" s="75"/>
      <c r="BS2" s="75"/>
      <c r="BT2" s="75"/>
      <c r="BU2" s="75"/>
      <c r="BV2" s="75"/>
      <c r="BW2" s="75"/>
      <c r="BX2" s="75"/>
      <c r="BY2" s="75"/>
      <c r="BZ2" s="75"/>
      <c r="CA2" s="75"/>
      <c r="CB2" s="75"/>
      <c r="CC2" s="75"/>
      <c r="CD2" s="75"/>
      <c r="CE2" s="75"/>
      <c r="CF2" s="75"/>
      <c r="CG2" s="75"/>
      <c r="CH2" s="75"/>
      <c r="CI2" s="75"/>
      <c r="CJ2" s="75"/>
      <c r="CK2" s="75"/>
      <c r="CL2" s="75"/>
      <c r="CM2" s="75"/>
      <c r="CN2" s="75"/>
      <c r="CO2" s="75"/>
      <c r="CP2" s="75"/>
      <c r="CQ2" s="75"/>
      <c r="CR2" s="75"/>
      <c r="CS2" s="75"/>
      <c r="CT2" s="75"/>
      <c r="CU2" s="75"/>
      <c r="CV2" s="75"/>
      <c r="CW2" s="75"/>
      <c r="CX2" s="75"/>
      <c r="CY2" s="75"/>
      <c r="CZ2" s="75"/>
      <c r="DA2" s="75"/>
      <c r="DB2" s="75"/>
      <c r="DC2" s="75"/>
      <c r="DD2" s="75"/>
      <c r="DE2" s="75"/>
      <c r="DF2" s="75"/>
      <c r="DG2" s="75"/>
      <c r="DH2" s="75"/>
      <c r="DI2" s="75"/>
      <c r="DJ2" s="75"/>
      <c r="DK2" s="75"/>
      <c r="DL2" s="75"/>
      <c r="DM2" s="75"/>
      <c r="DN2" s="75"/>
      <c r="DO2" s="75"/>
      <c r="DP2" s="75"/>
      <c r="DQ2" s="75"/>
      <c r="DR2" s="75"/>
      <c r="DS2" s="75"/>
      <c r="DT2" s="75"/>
      <c r="DU2" s="75"/>
      <c r="DV2" s="75"/>
      <c r="DW2" s="75"/>
      <c r="DX2" s="75"/>
      <c r="DY2" s="75"/>
      <c r="DZ2" s="75"/>
      <c r="EA2" s="75"/>
      <c r="EB2" s="75"/>
      <c r="EC2" s="75"/>
      <c r="ED2" s="75"/>
      <c r="EE2" s="75"/>
      <c r="EF2" s="75"/>
      <c r="EG2" s="75"/>
      <c r="EH2" s="75"/>
      <c r="EI2" s="75"/>
      <c r="EJ2" s="75"/>
      <c r="EK2" s="75"/>
      <c r="EL2" s="75"/>
      <c r="EM2" s="75"/>
      <c r="EN2" s="75"/>
      <c r="EO2" s="75"/>
      <c r="EP2" s="75"/>
      <c r="EQ2" s="75"/>
      <c r="ER2" s="75"/>
      <c r="ES2" s="75"/>
      <c r="ET2" s="75"/>
      <c r="EU2" s="75"/>
      <c r="EV2" s="75"/>
      <c r="EW2" s="75"/>
      <c r="EX2" s="75"/>
      <c r="EY2" s="75"/>
      <c r="EZ2" s="75"/>
      <c r="FA2" s="75"/>
      <c r="FB2" s="75"/>
      <c r="FC2" s="75"/>
      <c r="FD2" s="75"/>
      <c r="FE2" s="75"/>
      <c r="FF2" s="75"/>
      <c r="FG2" s="75"/>
      <c r="FH2" s="75"/>
      <c r="FI2" s="75"/>
      <c r="FJ2" s="75"/>
      <c r="FK2" s="75"/>
      <c r="FL2" s="75"/>
      <c r="FM2" s="75"/>
      <c r="FN2" s="75"/>
      <c r="FO2" s="75"/>
      <c r="FP2" s="75"/>
      <c r="FQ2" s="75"/>
      <c r="FR2" s="75"/>
      <c r="FS2" s="75"/>
      <c r="FT2" s="75"/>
      <c r="FU2" s="75"/>
      <c r="FV2" s="75"/>
      <c r="FW2" s="75"/>
      <c r="FX2" s="75"/>
      <c r="FY2" s="75"/>
      <c r="FZ2" s="75"/>
      <c r="GA2" s="75"/>
      <c r="GB2" s="75"/>
      <c r="GC2" s="75"/>
      <c r="GD2" s="75"/>
      <c r="GE2" s="75"/>
      <c r="GF2" s="75"/>
      <c r="GG2" s="75"/>
      <c r="GH2" s="75"/>
      <c r="GI2" s="75"/>
      <c r="GJ2" s="75"/>
      <c r="GK2" s="75"/>
      <c r="GL2" s="75"/>
      <c r="GM2" s="75"/>
      <c r="GN2" s="75"/>
      <c r="GO2" s="75"/>
      <c r="GP2" s="75"/>
      <c r="GQ2" s="75"/>
      <c r="GR2" s="75"/>
      <c r="GS2" s="75"/>
      <c r="GT2" s="75"/>
      <c r="GU2" s="75"/>
      <c r="GV2" s="75"/>
      <c r="GW2" s="75"/>
      <c r="GX2" s="75"/>
      <c r="GY2" s="75"/>
      <c r="GZ2" s="75"/>
      <c r="HA2" s="75"/>
      <c r="HB2" s="75"/>
      <c r="HC2" s="75"/>
      <c r="HD2" s="75"/>
      <c r="HE2" s="75"/>
      <c r="HF2" s="75"/>
      <c r="HG2" s="75"/>
      <c r="HH2" s="75"/>
      <c r="HI2" s="75"/>
      <c r="HJ2" s="75"/>
      <c r="HK2" s="75"/>
      <c r="HL2" s="75"/>
      <c r="HM2" s="75"/>
      <c r="HN2" s="75"/>
      <c r="HO2" s="75"/>
      <c r="HP2" s="75"/>
      <c r="HQ2" s="75"/>
      <c r="HR2" s="75"/>
      <c r="HS2" s="75"/>
      <c r="HT2" s="75"/>
      <c r="HU2" s="75"/>
      <c r="HV2" s="75"/>
      <c r="HW2" s="75"/>
      <c r="HX2" s="75"/>
      <c r="HY2" s="75"/>
      <c r="HZ2" s="75"/>
      <c r="IA2" s="75"/>
      <c r="IB2" s="75"/>
      <c r="IC2" s="75"/>
      <c r="ID2" s="75"/>
      <c r="IE2" s="75"/>
      <c r="IF2" s="75"/>
      <c r="IG2" s="75"/>
      <c r="IH2" s="75"/>
      <c r="II2" s="75"/>
      <c r="IJ2" s="75"/>
      <c r="IK2" s="75"/>
      <c r="IL2" s="75"/>
      <c r="IM2" s="75"/>
      <c r="IN2" s="75"/>
      <c r="IO2" s="75"/>
      <c r="IP2" s="75"/>
      <c r="IQ2" s="75"/>
      <c r="IR2" s="75"/>
      <c r="IS2" s="75"/>
      <c r="IT2" s="75"/>
      <c r="IU2" s="75"/>
      <c r="IV2" s="75"/>
      <c r="IW2" s="75"/>
      <c r="IX2" s="75"/>
      <c r="IY2" s="75"/>
      <c r="IZ2" s="75"/>
      <c r="JA2" s="75"/>
      <c r="JB2" s="75"/>
      <c r="JC2" s="75"/>
      <c r="JD2" s="75"/>
      <c r="JE2" s="75"/>
      <c r="JF2" s="75"/>
      <c r="JG2" s="75"/>
      <c r="JH2" s="75"/>
      <c r="JI2" s="75"/>
      <c r="JJ2" s="75"/>
      <c r="JK2" s="75"/>
      <c r="JL2" s="75"/>
      <c r="JM2" s="75"/>
      <c r="JN2" s="75"/>
      <c r="JO2" s="75"/>
      <c r="JP2" s="75"/>
      <c r="JQ2" s="75"/>
      <c r="JR2" s="75"/>
      <c r="JS2" s="75"/>
      <c r="JT2" s="75"/>
      <c r="JU2" s="75"/>
      <c r="JV2" s="75"/>
      <c r="JW2" s="75"/>
      <c r="JX2" s="75"/>
      <c r="JY2" s="75"/>
      <c r="JZ2" s="75"/>
      <c r="KA2" s="75"/>
      <c r="KB2" s="75"/>
      <c r="KC2" s="75"/>
      <c r="KD2" s="75"/>
      <c r="KE2" s="75"/>
      <c r="KF2" s="75"/>
      <c r="KG2" s="75"/>
      <c r="KH2" s="75"/>
      <c r="KI2" s="75"/>
      <c r="KJ2" s="75"/>
      <c r="KK2" s="75"/>
    </row>
    <row r="3" spans="1:297" ht="30" customHeight="1" x14ac:dyDescent="0.25">
      <c r="A3" s="33" t="s">
        <v>159</v>
      </c>
      <c r="B3" s="12" t="s">
        <v>160</v>
      </c>
      <c r="C3" s="4">
        <f>_xlfn.XLOOKUP(B3,Lookups!G:G,Lookups!H:H,"",0,1)</f>
        <v>3</v>
      </c>
      <c r="D3" s="4" t="str">
        <f>_xlfn.XLOOKUP(C3,[1]Sheet2!$A$2:$A$11,[1]Sheet2!$B$2:$B$11,"Not found")</f>
        <v>within 30 days</v>
      </c>
      <c r="E3" s="4"/>
      <c r="F3" s="13" t="s">
        <v>310</v>
      </c>
      <c r="G3" s="13" t="s">
        <v>170</v>
      </c>
      <c r="H3" s="13" t="s">
        <v>170</v>
      </c>
      <c r="I3" s="13" t="s">
        <v>170</v>
      </c>
      <c r="J3" s="13" t="s">
        <v>170</v>
      </c>
      <c r="K3" s="13" t="s">
        <v>170</v>
      </c>
      <c r="L3" s="13" t="s">
        <v>170</v>
      </c>
      <c r="M3" s="13" t="s">
        <v>170</v>
      </c>
      <c r="N3" s="13" t="s">
        <v>170</v>
      </c>
      <c r="O3" s="13" t="s">
        <v>170</v>
      </c>
      <c r="P3" s="13" t="s">
        <v>170</v>
      </c>
      <c r="Q3" s="13" t="s">
        <v>170</v>
      </c>
      <c r="R3" s="13" t="s">
        <v>170</v>
      </c>
      <c r="S3" s="13" t="s">
        <v>170</v>
      </c>
      <c r="T3" s="79"/>
      <c r="U3" s="79"/>
      <c r="V3" s="79"/>
      <c r="W3" s="79"/>
      <c r="X3" s="79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  <c r="BW3" s="75"/>
      <c r="BX3" s="75"/>
      <c r="BY3" s="75"/>
      <c r="BZ3" s="75"/>
      <c r="CA3" s="75"/>
      <c r="CB3" s="75"/>
      <c r="CC3" s="75"/>
      <c r="CD3" s="75"/>
      <c r="CE3" s="75"/>
      <c r="CF3" s="75"/>
      <c r="CG3" s="75"/>
      <c r="CH3" s="75"/>
      <c r="CI3" s="75"/>
      <c r="CJ3" s="75"/>
      <c r="CK3" s="75"/>
      <c r="CL3" s="75"/>
      <c r="CM3" s="75"/>
      <c r="CN3" s="75"/>
      <c r="CO3" s="75"/>
      <c r="CP3" s="75"/>
      <c r="CQ3" s="75"/>
      <c r="CR3" s="75"/>
      <c r="CS3" s="75"/>
      <c r="CT3" s="75"/>
      <c r="CU3" s="75"/>
      <c r="CV3" s="75"/>
      <c r="CW3" s="75"/>
      <c r="CX3" s="75"/>
      <c r="CY3" s="75"/>
      <c r="CZ3" s="75"/>
      <c r="DA3" s="75"/>
      <c r="DB3" s="75"/>
      <c r="DC3" s="75"/>
      <c r="DD3" s="75"/>
      <c r="DE3" s="75"/>
      <c r="DF3" s="75"/>
      <c r="DG3" s="75"/>
      <c r="DH3" s="75"/>
      <c r="DI3" s="75"/>
      <c r="DJ3" s="75"/>
      <c r="DK3" s="75"/>
      <c r="DL3" s="75"/>
      <c r="DM3" s="75"/>
      <c r="DN3" s="75"/>
      <c r="DO3" s="75"/>
      <c r="DP3" s="75"/>
      <c r="DQ3" s="75"/>
      <c r="DR3" s="75"/>
      <c r="DS3" s="75"/>
      <c r="DT3" s="75"/>
      <c r="DU3" s="75"/>
      <c r="DV3" s="75"/>
      <c r="DW3" s="75"/>
      <c r="DX3" s="75"/>
      <c r="DY3" s="75"/>
      <c r="DZ3" s="75"/>
      <c r="EA3" s="75"/>
      <c r="EB3" s="75"/>
      <c r="EC3" s="75"/>
      <c r="ED3" s="75"/>
      <c r="EE3" s="75"/>
      <c r="EF3" s="75"/>
      <c r="EG3" s="75"/>
      <c r="EH3" s="75"/>
      <c r="EI3" s="75"/>
      <c r="EJ3" s="75"/>
      <c r="EK3" s="75"/>
      <c r="EL3" s="75"/>
      <c r="EM3" s="75"/>
      <c r="EN3" s="75"/>
      <c r="EO3" s="75"/>
      <c r="EP3" s="75"/>
      <c r="EQ3" s="75"/>
      <c r="ER3" s="75"/>
      <c r="ES3" s="75"/>
      <c r="ET3" s="75"/>
      <c r="EU3" s="75"/>
      <c r="EV3" s="75"/>
      <c r="EW3" s="75"/>
      <c r="EX3" s="75"/>
      <c r="EY3" s="75"/>
      <c r="EZ3" s="75"/>
      <c r="FA3" s="75"/>
      <c r="FB3" s="75"/>
      <c r="FC3" s="75"/>
      <c r="FD3" s="75"/>
      <c r="FE3" s="75"/>
      <c r="FF3" s="75"/>
      <c r="FG3" s="75"/>
      <c r="FH3" s="75"/>
      <c r="FI3" s="75"/>
      <c r="FJ3" s="75"/>
      <c r="FK3" s="75"/>
      <c r="FL3" s="75"/>
      <c r="FM3" s="75"/>
      <c r="FN3" s="75"/>
      <c r="FO3" s="75"/>
      <c r="FP3" s="75"/>
      <c r="FQ3" s="75"/>
      <c r="FR3" s="75"/>
      <c r="FS3" s="75"/>
      <c r="FT3" s="75"/>
      <c r="FU3" s="75"/>
      <c r="FV3" s="75"/>
      <c r="FW3" s="75"/>
      <c r="FX3" s="75"/>
      <c r="FY3" s="75"/>
      <c r="FZ3" s="75"/>
      <c r="GA3" s="75"/>
      <c r="GB3" s="75"/>
      <c r="GC3" s="75"/>
      <c r="GD3" s="75"/>
      <c r="GE3" s="75"/>
      <c r="GF3" s="75"/>
      <c r="GG3" s="75"/>
      <c r="GH3" s="75"/>
      <c r="GI3" s="75"/>
      <c r="GJ3" s="75"/>
      <c r="GK3" s="75"/>
      <c r="GL3" s="75"/>
      <c r="GM3" s="75"/>
      <c r="GN3" s="75"/>
      <c r="GO3" s="75"/>
      <c r="GP3" s="75"/>
      <c r="GQ3" s="75"/>
      <c r="GR3" s="75"/>
      <c r="GS3" s="75"/>
      <c r="GT3" s="75"/>
      <c r="GU3" s="75"/>
      <c r="GV3" s="75"/>
      <c r="GW3" s="75"/>
      <c r="GX3" s="75"/>
      <c r="GY3" s="75"/>
      <c r="GZ3" s="75"/>
      <c r="HA3" s="75"/>
      <c r="HB3" s="75"/>
      <c r="HC3" s="75"/>
      <c r="HD3" s="75"/>
      <c r="HE3" s="75"/>
      <c r="HF3" s="75"/>
      <c r="HG3" s="75"/>
      <c r="HH3" s="75"/>
      <c r="HI3" s="75"/>
      <c r="HJ3" s="75"/>
      <c r="HK3" s="75"/>
      <c r="HL3" s="75"/>
      <c r="HM3" s="75"/>
      <c r="HN3" s="75"/>
      <c r="HO3" s="75"/>
      <c r="HP3" s="75"/>
      <c r="HQ3" s="75"/>
      <c r="HR3" s="75"/>
      <c r="HS3" s="75"/>
      <c r="HT3" s="75"/>
      <c r="HU3" s="75"/>
      <c r="HV3" s="75"/>
      <c r="HW3" s="75"/>
      <c r="HX3" s="75"/>
      <c r="HY3" s="75"/>
      <c r="HZ3" s="75"/>
      <c r="IA3" s="75"/>
      <c r="IB3" s="75"/>
      <c r="IC3" s="75"/>
      <c r="ID3" s="75"/>
      <c r="IE3" s="75"/>
      <c r="IF3" s="75"/>
      <c r="IG3" s="75"/>
      <c r="IH3" s="75"/>
      <c r="II3" s="75"/>
      <c r="IJ3" s="75"/>
      <c r="IK3" s="75"/>
      <c r="IL3" s="75"/>
      <c r="IM3" s="75"/>
      <c r="IN3" s="75"/>
      <c r="IO3" s="75"/>
      <c r="IP3" s="75"/>
      <c r="IQ3" s="75"/>
      <c r="IR3" s="75"/>
      <c r="IS3" s="75"/>
      <c r="IT3" s="75"/>
      <c r="IU3" s="75"/>
      <c r="IV3" s="75"/>
      <c r="IW3" s="75"/>
      <c r="IX3" s="75"/>
      <c r="IY3" s="75"/>
      <c r="IZ3" s="75"/>
      <c r="JA3" s="75"/>
      <c r="JB3" s="75"/>
      <c r="JC3" s="75"/>
      <c r="JD3" s="75"/>
      <c r="JE3" s="75"/>
      <c r="JF3" s="75"/>
      <c r="JG3" s="75"/>
      <c r="JH3" s="75"/>
      <c r="JI3" s="75"/>
      <c r="JJ3" s="75"/>
      <c r="JK3" s="75"/>
      <c r="JL3" s="75"/>
      <c r="JM3" s="75"/>
      <c r="JN3" s="75"/>
      <c r="JO3" s="75"/>
      <c r="JP3" s="75"/>
      <c r="JQ3" s="75"/>
      <c r="JR3" s="75"/>
      <c r="JS3" s="75"/>
      <c r="JT3" s="75"/>
      <c r="JU3" s="75"/>
      <c r="JV3" s="75"/>
      <c r="JW3" s="75"/>
      <c r="JX3" s="75"/>
      <c r="JY3" s="75"/>
      <c r="JZ3" s="75"/>
      <c r="KA3" s="75"/>
      <c r="KB3" s="75"/>
      <c r="KC3" s="75"/>
      <c r="KD3" s="75"/>
      <c r="KE3" s="75"/>
      <c r="KF3" s="75"/>
      <c r="KG3" s="75"/>
      <c r="KH3" s="75"/>
      <c r="KI3" s="75"/>
      <c r="KJ3" s="75"/>
      <c r="KK3" s="75"/>
    </row>
    <row r="4" spans="1:297" ht="30" customHeight="1" x14ac:dyDescent="0.25">
      <c r="A4" s="33" t="s">
        <v>282</v>
      </c>
      <c r="B4" s="12" t="s">
        <v>283</v>
      </c>
      <c r="C4" s="4">
        <f>_xlfn.XLOOKUP(B4,Lookups!G:G,Lookups!H:H,"",0,1)</f>
        <v>3</v>
      </c>
      <c r="D4" s="4" t="str">
        <f>_xlfn.XLOOKUP(C4,[1]Sheet2!$A$2:$A$11,[1]Sheet2!$B$2:$B$11,"Not found")</f>
        <v>within 30 days</v>
      </c>
      <c r="E4" s="4"/>
      <c r="F4" s="4" t="s">
        <v>316</v>
      </c>
      <c r="G4" s="13" t="s">
        <v>170</v>
      </c>
      <c r="H4" s="13" t="s">
        <v>170</v>
      </c>
      <c r="I4" s="13" t="s">
        <v>170</v>
      </c>
      <c r="J4" s="13" t="s">
        <v>170</v>
      </c>
      <c r="K4" s="13" t="s">
        <v>170</v>
      </c>
      <c r="L4" s="13" t="s">
        <v>170</v>
      </c>
      <c r="M4" s="13" t="s">
        <v>170</v>
      </c>
      <c r="N4" s="13" t="s">
        <v>170</v>
      </c>
      <c r="O4" s="13" t="s">
        <v>170</v>
      </c>
      <c r="P4" s="13" t="s">
        <v>170</v>
      </c>
      <c r="Q4" s="13" t="s">
        <v>170</v>
      </c>
      <c r="R4" s="13" t="s">
        <v>170</v>
      </c>
      <c r="S4" s="13" t="s">
        <v>170</v>
      </c>
      <c r="T4" s="79"/>
      <c r="U4" s="79"/>
      <c r="V4" s="79"/>
      <c r="W4" s="79"/>
      <c r="X4" s="79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5"/>
      <c r="BL4" s="75"/>
      <c r="BM4" s="75"/>
      <c r="BN4" s="75"/>
      <c r="BO4" s="75"/>
      <c r="BP4" s="75"/>
      <c r="BQ4" s="75"/>
      <c r="BR4" s="75"/>
      <c r="BS4" s="75"/>
      <c r="BT4" s="75"/>
      <c r="BU4" s="75"/>
      <c r="BV4" s="75"/>
      <c r="BW4" s="75"/>
      <c r="BX4" s="75"/>
      <c r="BY4" s="75"/>
      <c r="BZ4" s="75"/>
      <c r="CA4" s="75"/>
      <c r="CB4" s="75"/>
      <c r="CC4" s="75"/>
      <c r="CD4" s="75"/>
      <c r="CE4" s="75"/>
      <c r="CF4" s="75"/>
      <c r="CG4" s="75"/>
      <c r="CH4" s="75"/>
      <c r="CI4" s="75"/>
      <c r="CJ4" s="75"/>
      <c r="CK4" s="75"/>
      <c r="CL4" s="75"/>
      <c r="CM4" s="75"/>
      <c r="CN4" s="75"/>
      <c r="CO4" s="75"/>
      <c r="CP4" s="75"/>
      <c r="CQ4" s="75"/>
      <c r="CR4" s="75"/>
      <c r="CS4" s="75"/>
      <c r="CT4" s="75"/>
      <c r="CU4" s="75"/>
      <c r="CV4" s="75"/>
      <c r="CW4" s="75"/>
      <c r="CX4" s="75"/>
      <c r="CY4" s="75"/>
      <c r="CZ4" s="75"/>
      <c r="DA4" s="75"/>
      <c r="DB4" s="75"/>
      <c r="DC4" s="75"/>
      <c r="DD4" s="75"/>
      <c r="DE4" s="75"/>
      <c r="DF4" s="75"/>
      <c r="DG4" s="75"/>
      <c r="DH4" s="75"/>
      <c r="DI4" s="75"/>
      <c r="DJ4" s="75"/>
      <c r="DK4" s="75"/>
      <c r="DL4" s="75"/>
      <c r="DM4" s="75"/>
      <c r="DN4" s="75"/>
      <c r="DO4" s="75"/>
      <c r="DP4" s="75"/>
      <c r="DQ4" s="75"/>
      <c r="DR4" s="75"/>
      <c r="DS4" s="75"/>
      <c r="DT4" s="75"/>
      <c r="DU4" s="75"/>
      <c r="DV4" s="75"/>
      <c r="DW4" s="75"/>
      <c r="DX4" s="75"/>
      <c r="DY4" s="75"/>
      <c r="DZ4" s="75"/>
      <c r="EA4" s="75"/>
      <c r="EB4" s="75"/>
      <c r="EC4" s="75"/>
      <c r="ED4" s="75"/>
      <c r="EE4" s="75"/>
      <c r="EF4" s="75"/>
      <c r="EG4" s="75"/>
      <c r="EH4" s="75"/>
      <c r="EI4" s="75"/>
      <c r="EJ4" s="75"/>
      <c r="EK4" s="75"/>
      <c r="EL4" s="75"/>
      <c r="EM4" s="75"/>
      <c r="EN4" s="75"/>
      <c r="EO4" s="75"/>
      <c r="EP4" s="75"/>
      <c r="EQ4" s="75"/>
      <c r="ER4" s="75"/>
      <c r="ES4" s="75"/>
      <c r="ET4" s="75"/>
      <c r="EU4" s="75"/>
      <c r="EV4" s="75"/>
      <c r="EW4" s="75"/>
      <c r="EX4" s="75"/>
      <c r="EY4" s="75"/>
      <c r="EZ4" s="75"/>
      <c r="FA4" s="75"/>
      <c r="FB4" s="75"/>
      <c r="FC4" s="75"/>
      <c r="FD4" s="75"/>
      <c r="FE4" s="75"/>
      <c r="FF4" s="75"/>
      <c r="FG4" s="75"/>
      <c r="FH4" s="75"/>
      <c r="FI4" s="75"/>
      <c r="FJ4" s="75"/>
      <c r="FK4" s="75"/>
      <c r="FL4" s="75"/>
      <c r="FM4" s="75"/>
      <c r="FN4" s="75"/>
      <c r="FO4" s="75"/>
      <c r="FP4" s="75"/>
      <c r="FQ4" s="75"/>
      <c r="FR4" s="75"/>
      <c r="FS4" s="75"/>
      <c r="FT4" s="75"/>
      <c r="FU4" s="75"/>
      <c r="FV4" s="75"/>
      <c r="FW4" s="75"/>
      <c r="FX4" s="75"/>
      <c r="FY4" s="75"/>
      <c r="FZ4" s="75"/>
      <c r="GA4" s="75"/>
      <c r="GB4" s="75"/>
      <c r="GC4" s="75"/>
      <c r="GD4" s="75"/>
      <c r="GE4" s="75"/>
      <c r="GF4" s="75"/>
      <c r="GG4" s="75"/>
      <c r="GH4" s="75"/>
      <c r="GI4" s="75"/>
      <c r="GJ4" s="75"/>
      <c r="GK4" s="75"/>
      <c r="GL4" s="75"/>
      <c r="GM4" s="75"/>
      <c r="GN4" s="75"/>
      <c r="GO4" s="75"/>
      <c r="GP4" s="75"/>
      <c r="GQ4" s="75"/>
      <c r="GR4" s="75"/>
      <c r="GS4" s="75"/>
      <c r="GT4" s="75"/>
      <c r="GU4" s="75"/>
      <c r="GV4" s="75"/>
      <c r="GW4" s="75"/>
      <c r="GX4" s="75"/>
      <c r="GY4" s="75"/>
      <c r="GZ4" s="75"/>
      <c r="HA4" s="75"/>
      <c r="HB4" s="75"/>
      <c r="HC4" s="75"/>
      <c r="HD4" s="75"/>
      <c r="HE4" s="75"/>
      <c r="HF4" s="75"/>
      <c r="HG4" s="75"/>
      <c r="HH4" s="75"/>
      <c r="HI4" s="75"/>
      <c r="HJ4" s="75"/>
      <c r="HK4" s="75"/>
      <c r="HL4" s="75"/>
      <c r="HM4" s="75"/>
      <c r="HN4" s="75"/>
      <c r="HO4" s="75"/>
      <c r="HP4" s="75"/>
      <c r="HQ4" s="75"/>
      <c r="HR4" s="75"/>
      <c r="HS4" s="75"/>
      <c r="HT4" s="75"/>
      <c r="HU4" s="75"/>
      <c r="HV4" s="75"/>
      <c r="HW4" s="75"/>
      <c r="HX4" s="75"/>
      <c r="HY4" s="75"/>
      <c r="HZ4" s="75"/>
      <c r="IA4" s="75"/>
      <c r="IB4" s="75"/>
      <c r="IC4" s="75"/>
      <c r="ID4" s="75"/>
      <c r="IE4" s="75"/>
      <c r="IF4" s="75"/>
      <c r="IG4" s="75"/>
      <c r="IH4" s="75"/>
      <c r="II4" s="75"/>
      <c r="IJ4" s="75"/>
      <c r="IK4" s="75"/>
      <c r="IL4" s="75"/>
      <c r="IM4" s="75"/>
      <c r="IN4" s="75"/>
      <c r="IO4" s="75"/>
      <c r="IP4" s="75"/>
      <c r="IQ4" s="75"/>
      <c r="IR4" s="75"/>
      <c r="IS4" s="75"/>
      <c r="IT4" s="75"/>
      <c r="IU4" s="75"/>
      <c r="IV4" s="75"/>
      <c r="IW4" s="75"/>
      <c r="IX4" s="75"/>
      <c r="IY4" s="75"/>
      <c r="IZ4" s="75"/>
      <c r="JA4" s="75"/>
      <c r="JB4" s="75"/>
      <c r="JC4" s="75"/>
      <c r="JD4" s="75"/>
      <c r="JE4" s="75"/>
      <c r="JF4" s="75"/>
      <c r="JG4" s="75"/>
      <c r="JH4" s="75"/>
      <c r="JI4" s="75"/>
      <c r="JJ4" s="75"/>
      <c r="JK4" s="75"/>
      <c r="JL4" s="75"/>
      <c r="JM4" s="75"/>
      <c r="JN4" s="75"/>
      <c r="JO4" s="75"/>
      <c r="JP4" s="75"/>
      <c r="JQ4" s="75"/>
      <c r="JR4" s="75"/>
      <c r="JS4" s="75"/>
      <c r="JT4" s="75"/>
      <c r="JU4" s="75"/>
      <c r="JV4" s="75"/>
      <c r="JW4" s="75"/>
      <c r="JX4" s="75"/>
      <c r="JY4" s="75"/>
      <c r="JZ4" s="75"/>
      <c r="KA4" s="75"/>
      <c r="KB4" s="75"/>
      <c r="KC4" s="75"/>
      <c r="KD4" s="75"/>
      <c r="KE4" s="75"/>
      <c r="KF4" s="75"/>
      <c r="KG4" s="75"/>
      <c r="KH4" s="75"/>
      <c r="KI4" s="75"/>
      <c r="KJ4" s="75"/>
      <c r="KK4" s="75"/>
    </row>
    <row r="5" spans="1:297" ht="30" customHeight="1" x14ac:dyDescent="0.25">
      <c r="A5" s="33" t="s">
        <v>292</v>
      </c>
      <c r="B5" s="16" t="s">
        <v>286</v>
      </c>
      <c r="C5" s="4">
        <f>_xlfn.XLOOKUP(B5,Lookups!G:G,Lookups!H:H,"",0,1)</f>
        <v>3</v>
      </c>
      <c r="D5" s="4" t="str">
        <f>_xlfn.XLOOKUP(C5,[1]Sheet2!$A$2:$A$11,[1]Sheet2!$B$2:$B$11,"Not found")</f>
        <v>within 30 days</v>
      </c>
      <c r="E5" s="4"/>
      <c r="F5" s="13" t="s">
        <v>290</v>
      </c>
      <c r="G5" s="13" t="s">
        <v>170</v>
      </c>
      <c r="H5" s="13" t="s">
        <v>170</v>
      </c>
      <c r="I5" s="13" t="s">
        <v>170</v>
      </c>
      <c r="J5" s="13" t="s">
        <v>170</v>
      </c>
      <c r="K5" s="13" t="s">
        <v>170</v>
      </c>
      <c r="L5" s="13" t="s">
        <v>170</v>
      </c>
      <c r="M5" s="13" t="s">
        <v>170</v>
      </c>
      <c r="N5" s="13"/>
      <c r="O5" s="13"/>
      <c r="P5" s="13"/>
      <c r="Q5" s="13"/>
      <c r="R5" s="13" t="s">
        <v>170</v>
      </c>
      <c r="S5" s="13"/>
      <c r="T5" s="79"/>
      <c r="U5" s="79"/>
      <c r="V5" s="79"/>
      <c r="W5" s="79"/>
      <c r="X5" s="79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  <c r="BM5" s="75"/>
      <c r="BN5" s="75"/>
      <c r="BO5" s="75"/>
      <c r="BP5" s="75"/>
      <c r="BQ5" s="75"/>
      <c r="BR5" s="75"/>
      <c r="BS5" s="75"/>
      <c r="BT5" s="75"/>
      <c r="BU5" s="75"/>
      <c r="BV5" s="75"/>
      <c r="BW5" s="75"/>
      <c r="BX5" s="75"/>
      <c r="BY5" s="75"/>
      <c r="BZ5" s="75"/>
      <c r="CA5" s="75"/>
      <c r="CB5" s="75"/>
      <c r="CC5" s="75"/>
      <c r="CD5" s="75"/>
      <c r="CE5" s="75"/>
      <c r="CF5" s="75"/>
      <c r="CG5" s="75"/>
      <c r="CH5" s="75"/>
      <c r="CI5" s="75"/>
      <c r="CJ5" s="75"/>
      <c r="CK5" s="75"/>
      <c r="CL5" s="75"/>
      <c r="CM5" s="75"/>
      <c r="CN5" s="75"/>
      <c r="CO5" s="75"/>
      <c r="CP5" s="75"/>
      <c r="CQ5" s="75"/>
      <c r="CR5" s="75"/>
      <c r="CS5" s="75"/>
      <c r="CT5" s="75"/>
      <c r="CU5" s="75"/>
      <c r="CV5" s="75"/>
      <c r="CW5" s="75"/>
      <c r="CX5" s="75"/>
      <c r="CY5" s="75"/>
      <c r="CZ5" s="75"/>
      <c r="DA5" s="75"/>
      <c r="DB5" s="75"/>
      <c r="DC5" s="75"/>
      <c r="DD5" s="75"/>
      <c r="DE5" s="75"/>
      <c r="DF5" s="75"/>
      <c r="DG5" s="75"/>
      <c r="DH5" s="75"/>
      <c r="DI5" s="75"/>
      <c r="DJ5" s="75"/>
      <c r="DK5" s="75"/>
      <c r="DL5" s="75"/>
      <c r="DM5" s="75"/>
      <c r="DN5" s="75"/>
      <c r="DO5" s="75"/>
      <c r="DP5" s="75"/>
      <c r="DQ5" s="75"/>
      <c r="DR5" s="75"/>
      <c r="DS5" s="75"/>
      <c r="DT5" s="75"/>
      <c r="DU5" s="75"/>
      <c r="DV5" s="75"/>
      <c r="DW5" s="75"/>
      <c r="DX5" s="75"/>
      <c r="DY5" s="75"/>
      <c r="DZ5" s="75"/>
      <c r="EA5" s="75"/>
      <c r="EB5" s="75"/>
      <c r="EC5" s="75"/>
      <c r="ED5" s="75"/>
      <c r="EE5" s="75"/>
      <c r="EF5" s="75"/>
      <c r="EG5" s="75"/>
      <c r="EH5" s="75"/>
      <c r="EI5" s="75"/>
      <c r="EJ5" s="75"/>
      <c r="EK5" s="75"/>
      <c r="EL5" s="75"/>
      <c r="EM5" s="75"/>
      <c r="EN5" s="75"/>
      <c r="EO5" s="75"/>
      <c r="EP5" s="75"/>
      <c r="EQ5" s="75"/>
      <c r="ER5" s="75"/>
      <c r="ES5" s="75"/>
      <c r="ET5" s="75"/>
      <c r="EU5" s="75"/>
      <c r="EV5" s="75"/>
      <c r="EW5" s="75"/>
      <c r="EX5" s="75"/>
      <c r="EY5" s="75"/>
      <c r="EZ5" s="75"/>
      <c r="FA5" s="75"/>
      <c r="FB5" s="75"/>
      <c r="FC5" s="75"/>
      <c r="FD5" s="75"/>
      <c r="FE5" s="75"/>
      <c r="FF5" s="75"/>
      <c r="FG5" s="75"/>
      <c r="FH5" s="75"/>
      <c r="FI5" s="75"/>
      <c r="FJ5" s="75"/>
      <c r="FK5" s="75"/>
      <c r="FL5" s="75"/>
      <c r="FM5" s="75"/>
      <c r="FN5" s="75"/>
      <c r="FO5" s="75"/>
      <c r="FP5" s="75"/>
      <c r="FQ5" s="75"/>
      <c r="FR5" s="75"/>
      <c r="FS5" s="75"/>
      <c r="FT5" s="75"/>
      <c r="FU5" s="75"/>
      <c r="FV5" s="75"/>
      <c r="FW5" s="75"/>
      <c r="FX5" s="75"/>
      <c r="FY5" s="75"/>
      <c r="FZ5" s="75"/>
      <c r="GA5" s="75"/>
      <c r="GB5" s="75"/>
      <c r="GC5" s="75"/>
      <c r="GD5" s="75"/>
      <c r="GE5" s="75"/>
      <c r="GF5" s="75"/>
      <c r="GG5" s="75"/>
      <c r="GH5" s="75"/>
      <c r="GI5" s="75"/>
      <c r="GJ5" s="75"/>
      <c r="GK5" s="75"/>
      <c r="GL5" s="75"/>
      <c r="GM5" s="75"/>
      <c r="GN5" s="75"/>
      <c r="GO5" s="75"/>
      <c r="GP5" s="75"/>
      <c r="GQ5" s="75"/>
      <c r="GR5" s="75"/>
      <c r="GS5" s="75"/>
      <c r="GT5" s="75"/>
      <c r="GU5" s="75"/>
      <c r="GV5" s="75"/>
      <c r="GW5" s="75"/>
      <c r="GX5" s="75"/>
      <c r="GY5" s="75"/>
      <c r="GZ5" s="75"/>
      <c r="HA5" s="75"/>
      <c r="HB5" s="75"/>
      <c r="HC5" s="75"/>
      <c r="HD5" s="75"/>
      <c r="HE5" s="75"/>
      <c r="HF5" s="75"/>
      <c r="HG5" s="75"/>
      <c r="HH5" s="75"/>
      <c r="HI5" s="75"/>
      <c r="HJ5" s="75"/>
      <c r="HK5" s="75"/>
      <c r="HL5" s="75"/>
      <c r="HM5" s="75"/>
      <c r="HN5" s="75"/>
      <c r="HO5" s="75"/>
      <c r="HP5" s="75"/>
      <c r="HQ5" s="75"/>
      <c r="HR5" s="75"/>
      <c r="HS5" s="75"/>
      <c r="HT5" s="75"/>
      <c r="HU5" s="75"/>
      <c r="HV5" s="75"/>
      <c r="HW5" s="75"/>
      <c r="HX5" s="75"/>
      <c r="HY5" s="75"/>
      <c r="HZ5" s="75"/>
      <c r="IA5" s="75"/>
      <c r="IB5" s="75"/>
      <c r="IC5" s="75"/>
      <c r="ID5" s="75"/>
      <c r="IE5" s="75"/>
      <c r="IF5" s="75"/>
      <c r="IG5" s="75"/>
      <c r="IH5" s="75"/>
      <c r="II5" s="75"/>
      <c r="IJ5" s="75"/>
      <c r="IK5" s="75"/>
      <c r="IL5" s="75"/>
      <c r="IM5" s="75"/>
      <c r="IN5" s="75"/>
      <c r="IO5" s="75"/>
      <c r="IP5" s="75"/>
      <c r="IQ5" s="75"/>
      <c r="IR5" s="75"/>
      <c r="IS5" s="75"/>
      <c r="IT5" s="75"/>
      <c r="IU5" s="75"/>
      <c r="IV5" s="75"/>
      <c r="IW5" s="75"/>
      <c r="IX5" s="75"/>
      <c r="IY5" s="75"/>
      <c r="IZ5" s="75"/>
      <c r="JA5" s="75"/>
      <c r="JB5" s="75"/>
      <c r="JC5" s="75"/>
      <c r="JD5" s="75"/>
      <c r="JE5" s="75"/>
      <c r="JF5" s="75"/>
      <c r="JG5" s="75"/>
      <c r="JH5" s="75"/>
      <c r="JI5" s="75"/>
      <c r="JJ5" s="75"/>
      <c r="JK5" s="75"/>
      <c r="JL5" s="75"/>
      <c r="JM5" s="75"/>
      <c r="JN5" s="75"/>
      <c r="JO5" s="75"/>
      <c r="JP5" s="75"/>
      <c r="JQ5" s="75"/>
      <c r="JR5" s="75"/>
      <c r="JS5" s="75"/>
      <c r="JT5" s="75"/>
      <c r="JU5" s="75"/>
      <c r="JV5" s="75"/>
      <c r="JW5" s="75"/>
      <c r="JX5" s="75"/>
      <c r="JY5" s="75"/>
      <c r="JZ5" s="75"/>
      <c r="KA5" s="75"/>
      <c r="KB5" s="75"/>
      <c r="KC5" s="75"/>
      <c r="KD5" s="75"/>
      <c r="KE5" s="75"/>
      <c r="KF5" s="75"/>
      <c r="KG5" s="75"/>
      <c r="KH5" s="75"/>
      <c r="KI5" s="75"/>
      <c r="KJ5" s="75"/>
      <c r="KK5" s="75"/>
    </row>
    <row r="6" spans="1:297" ht="30" customHeight="1" x14ac:dyDescent="0.25">
      <c r="A6" s="33" t="s">
        <v>292</v>
      </c>
      <c r="B6" s="16" t="s">
        <v>287</v>
      </c>
      <c r="C6" s="4">
        <f>_xlfn.XLOOKUP(B6,Lookups!G:G,Lookups!H:H,"",0,1)</f>
        <v>3</v>
      </c>
      <c r="D6" s="4" t="str">
        <f>_xlfn.XLOOKUP(C6,[1]Sheet2!$A$2:$A$11,[1]Sheet2!$B$2:$B$11,"Not found")</f>
        <v>within 30 days</v>
      </c>
      <c r="E6" s="4"/>
      <c r="F6" s="13" t="s">
        <v>290</v>
      </c>
      <c r="G6" s="13"/>
      <c r="H6" s="13"/>
      <c r="I6" s="13"/>
      <c r="J6" s="13"/>
      <c r="K6" s="13"/>
      <c r="L6" s="13"/>
      <c r="M6" s="13"/>
      <c r="N6" s="13" t="s">
        <v>170</v>
      </c>
      <c r="O6" s="13" t="s">
        <v>170</v>
      </c>
      <c r="P6" s="13" t="s">
        <v>170</v>
      </c>
      <c r="Q6" s="13" t="s">
        <v>170</v>
      </c>
      <c r="R6" s="13"/>
      <c r="S6" s="13" t="s">
        <v>170</v>
      </c>
      <c r="T6" s="79"/>
      <c r="U6" s="79"/>
      <c r="V6" s="79"/>
      <c r="W6" s="79"/>
      <c r="X6" s="79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  <c r="BW6" s="75"/>
      <c r="BX6" s="75"/>
      <c r="BY6" s="75"/>
      <c r="BZ6" s="75"/>
      <c r="CA6" s="75"/>
      <c r="CB6" s="75"/>
      <c r="CC6" s="75"/>
      <c r="CD6" s="75"/>
      <c r="CE6" s="75"/>
      <c r="CF6" s="75"/>
      <c r="CG6" s="75"/>
      <c r="CH6" s="75"/>
      <c r="CI6" s="75"/>
      <c r="CJ6" s="75"/>
      <c r="CK6" s="75"/>
      <c r="CL6" s="75"/>
      <c r="CM6" s="75"/>
      <c r="CN6" s="75"/>
      <c r="CO6" s="75"/>
      <c r="CP6" s="75"/>
      <c r="CQ6" s="75"/>
      <c r="CR6" s="75"/>
      <c r="CS6" s="75"/>
      <c r="CT6" s="75"/>
      <c r="CU6" s="75"/>
      <c r="CV6" s="75"/>
      <c r="CW6" s="75"/>
      <c r="CX6" s="75"/>
      <c r="CY6" s="75"/>
      <c r="CZ6" s="75"/>
      <c r="DA6" s="75"/>
      <c r="DB6" s="75"/>
      <c r="DC6" s="75"/>
      <c r="DD6" s="75"/>
      <c r="DE6" s="75"/>
      <c r="DF6" s="75"/>
      <c r="DG6" s="75"/>
      <c r="DH6" s="75"/>
      <c r="DI6" s="75"/>
      <c r="DJ6" s="75"/>
      <c r="DK6" s="75"/>
      <c r="DL6" s="75"/>
      <c r="DM6" s="75"/>
      <c r="DN6" s="75"/>
      <c r="DO6" s="75"/>
      <c r="DP6" s="75"/>
      <c r="DQ6" s="75"/>
      <c r="DR6" s="75"/>
      <c r="DS6" s="75"/>
      <c r="DT6" s="75"/>
      <c r="DU6" s="75"/>
      <c r="DV6" s="75"/>
      <c r="DW6" s="75"/>
      <c r="DX6" s="75"/>
      <c r="DY6" s="75"/>
      <c r="DZ6" s="75"/>
      <c r="EA6" s="75"/>
      <c r="EB6" s="75"/>
      <c r="EC6" s="75"/>
      <c r="ED6" s="75"/>
      <c r="EE6" s="75"/>
      <c r="EF6" s="75"/>
      <c r="EG6" s="75"/>
      <c r="EH6" s="75"/>
      <c r="EI6" s="75"/>
      <c r="EJ6" s="75"/>
      <c r="EK6" s="75"/>
      <c r="EL6" s="75"/>
      <c r="EM6" s="75"/>
      <c r="EN6" s="75"/>
      <c r="EO6" s="75"/>
      <c r="EP6" s="75"/>
      <c r="EQ6" s="75"/>
      <c r="ER6" s="75"/>
      <c r="ES6" s="75"/>
      <c r="ET6" s="75"/>
      <c r="EU6" s="75"/>
      <c r="EV6" s="75"/>
      <c r="EW6" s="75"/>
      <c r="EX6" s="75"/>
      <c r="EY6" s="75"/>
      <c r="EZ6" s="75"/>
      <c r="FA6" s="75"/>
      <c r="FB6" s="75"/>
      <c r="FC6" s="75"/>
      <c r="FD6" s="75"/>
      <c r="FE6" s="75"/>
      <c r="FF6" s="75"/>
      <c r="FG6" s="75"/>
      <c r="FH6" s="75"/>
      <c r="FI6" s="75"/>
      <c r="FJ6" s="75"/>
      <c r="FK6" s="75"/>
      <c r="FL6" s="75"/>
      <c r="FM6" s="75"/>
      <c r="FN6" s="75"/>
      <c r="FO6" s="75"/>
      <c r="FP6" s="75"/>
      <c r="FQ6" s="75"/>
      <c r="FR6" s="75"/>
      <c r="FS6" s="75"/>
      <c r="FT6" s="75"/>
      <c r="FU6" s="75"/>
      <c r="FV6" s="75"/>
      <c r="FW6" s="75"/>
      <c r="FX6" s="75"/>
      <c r="FY6" s="75"/>
      <c r="FZ6" s="75"/>
      <c r="GA6" s="75"/>
      <c r="GB6" s="75"/>
      <c r="GC6" s="75"/>
      <c r="GD6" s="75"/>
      <c r="GE6" s="75"/>
      <c r="GF6" s="75"/>
      <c r="GG6" s="75"/>
      <c r="GH6" s="75"/>
      <c r="GI6" s="75"/>
      <c r="GJ6" s="75"/>
      <c r="GK6" s="75"/>
      <c r="GL6" s="75"/>
      <c r="GM6" s="75"/>
      <c r="GN6" s="75"/>
      <c r="GO6" s="75"/>
      <c r="GP6" s="75"/>
      <c r="GQ6" s="75"/>
      <c r="GR6" s="75"/>
      <c r="GS6" s="75"/>
      <c r="GT6" s="75"/>
      <c r="GU6" s="75"/>
      <c r="GV6" s="75"/>
      <c r="GW6" s="75"/>
      <c r="GX6" s="75"/>
      <c r="GY6" s="75"/>
      <c r="GZ6" s="75"/>
      <c r="HA6" s="75"/>
      <c r="HB6" s="75"/>
      <c r="HC6" s="75"/>
      <c r="HD6" s="75"/>
      <c r="HE6" s="75"/>
      <c r="HF6" s="75"/>
      <c r="HG6" s="75"/>
      <c r="HH6" s="75"/>
      <c r="HI6" s="75"/>
      <c r="HJ6" s="75"/>
      <c r="HK6" s="75"/>
      <c r="HL6" s="75"/>
      <c r="HM6" s="75"/>
      <c r="HN6" s="75"/>
      <c r="HO6" s="75"/>
      <c r="HP6" s="75"/>
      <c r="HQ6" s="75"/>
      <c r="HR6" s="75"/>
      <c r="HS6" s="75"/>
      <c r="HT6" s="75"/>
      <c r="HU6" s="75"/>
      <c r="HV6" s="75"/>
      <c r="HW6" s="75"/>
      <c r="HX6" s="75"/>
      <c r="HY6" s="75"/>
      <c r="HZ6" s="75"/>
      <c r="IA6" s="75"/>
      <c r="IB6" s="75"/>
      <c r="IC6" s="75"/>
      <c r="ID6" s="75"/>
      <c r="IE6" s="75"/>
      <c r="IF6" s="75"/>
      <c r="IG6" s="75"/>
      <c r="IH6" s="75"/>
      <c r="II6" s="75"/>
      <c r="IJ6" s="75"/>
      <c r="IK6" s="75"/>
      <c r="IL6" s="75"/>
      <c r="IM6" s="75"/>
      <c r="IN6" s="75"/>
      <c r="IO6" s="75"/>
      <c r="IP6" s="75"/>
      <c r="IQ6" s="75"/>
      <c r="IR6" s="75"/>
      <c r="IS6" s="75"/>
      <c r="IT6" s="75"/>
      <c r="IU6" s="75"/>
      <c r="IV6" s="75"/>
      <c r="IW6" s="75"/>
      <c r="IX6" s="75"/>
      <c r="IY6" s="75"/>
      <c r="IZ6" s="75"/>
      <c r="JA6" s="75"/>
      <c r="JB6" s="75"/>
      <c r="JC6" s="75"/>
      <c r="JD6" s="75"/>
      <c r="JE6" s="75"/>
      <c r="JF6" s="75"/>
      <c r="JG6" s="75"/>
      <c r="JH6" s="75"/>
      <c r="JI6" s="75"/>
      <c r="JJ6" s="75"/>
      <c r="JK6" s="75"/>
      <c r="JL6" s="75"/>
      <c r="JM6" s="75"/>
      <c r="JN6" s="75"/>
      <c r="JO6" s="75"/>
      <c r="JP6" s="75"/>
      <c r="JQ6" s="75"/>
      <c r="JR6" s="75"/>
      <c r="JS6" s="75"/>
      <c r="JT6" s="75"/>
      <c r="JU6" s="75"/>
      <c r="JV6" s="75"/>
      <c r="JW6" s="75"/>
      <c r="JX6" s="75"/>
      <c r="JY6" s="75"/>
      <c r="JZ6" s="75"/>
      <c r="KA6" s="75"/>
      <c r="KB6" s="75"/>
      <c r="KC6" s="75"/>
      <c r="KD6" s="75"/>
      <c r="KE6" s="75"/>
      <c r="KF6" s="75"/>
      <c r="KG6" s="75"/>
      <c r="KH6" s="75"/>
      <c r="KI6" s="75"/>
      <c r="KJ6" s="75"/>
      <c r="KK6" s="75"/>
    </row>
    <row r="7" spans="1:297" ht="30" customHeight="1" x14ac:dyDescent="0.25">
      <c r="A7" s="33" t="s">
        <v>293</v>
      </c>
      <c r="B7" s="16" t="s">
        <v>288</v>
      </c>
      <c r="C7" s="4">
        <f>_xlfn.XLOOKUP(B7,Lookups!G:G,Lookups!H:H,"",0,1)</f>
        <v>3</v>
      </c>
      <c r="D7" s="4" t="str">
        <f>_xlfn.XLOOKUP(C7,[1]Sheet2!$A$2:$A$11,[1]Sheet2!$B$2:$B$11,"Not found")</f>
        <v>within 30 days</v>
      </c>
      <c r="E7" s="4"/>
      <c r="F7" s="13" t="s">
        <v>291</v>
      </c>
      <c r="G7" s="13" t="s">
        <v>170</v>
      </c>
      <c r="H7" s="13" t="s">
        <v>170</v>
      </c>
      <c r="I7" s="13" t="s">
        <v>170</v>
      </c>
      <c r="J7" s="13" t="s">
        <v>170</v>
      </c>
      <c r="K7" s="13" t="s">
        <v>170</v>
      </c>
      <c r="L7" s="13" t="s">
        <v>170</v>
      </c>
      <c r="M7" s="13" t="s">
        <v>170</v>
      </c>
      <c r="N7" s="13"/>
      <c r="O7" s="13"/>
      <c r="P7" s="13"/>
      <c r="Q7" s="13"/>
      <c r="R7" s="13" t="s">
        <v>170</v>
      </c>
      <c r="S7" s="13"/>
      <c r="T7" s="79"/>
      <c r="U7" s="79"/>
      <c r="V7" s="79"/>
      <c r="W7" s="79"/>
      <c r="X7" s="79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/>
      <c r="BU7" s="75"/>
      <c r="BV7" s="75"/>
      <c r="BW7" s="75"/>
      <c r="BX7" s="75"/>
      <c r="BY7" s="75"/>
      <c r="BZ7" s="75"/>
      <c r="CA7" s="75"/>
      <c r="CB7" s="75"/>
      <c r="CC7" s="75"/>
      <c r="CD7" s="75"/>
      <c r="CE7" s="75"/>
      <c r="CF7" s="75"/>
      <c r="CG7" s="75"/>
      <c r="CH7" s="75"/>
      <c r="CI7" s="75"/>
      <c r="CJ7" s="75"/>
      <c r="CK7" s="75"/>
      <c r="CL7" s="75"/>
      <c r="CM7" s="75"/>
      <c r="CN7" s="75"/>
      <c r="CO7" s="75"/>
      <c r="CP7" s="75"/>
      <c r="CQ7" s="75"/>
      <c r="CR7" s="75"/>
      <c r="CS7" s="75"/>
      <c r="CT7" s="75"/>
      <c r="CU7" s="75"/>
      <c r="CV7" s="75"/>
      <c r="CW7" s="75"/>
      <c r="CX7" s="75"/>
      <c r="CY7" s="75"/>
      <c r="CZ7" s="75"/>
      <c r="DA7" s="75"/>
      <c r="DB7" s="75"/>
      <c r="DC7" s="75"/>
      <c r="DD7" s="75"/>
      <c r="DE7" s="75"/>
      <c r="DF7" s="75"/>
      <c r="DG7" s="75"/>
      <c r="DH7" s="75"/>
      <c r="DI7" s="75"/>
      <c r="DJ7" s="75"/>
      <c r="DK7" s="75"/>
      <c r="DL7" s="75"/>
      <c r="DM7" s="75"/>
      <c r="DN7" s="75"/>
      <c r="DO7" s="75"/>
      <c r="DP7" s="75"/>
      <c r="DQ7" s="75"/>
      <c r="DR7" s="75"/>
      <c r="DS7" s="75"/>
      <c r="DT7" s="75"/>
      <c r="DU7" s="75"/>
      <c r="DV7" s="75"/>
      <c r="DW7" s="75"/>
      <c r="DX7" s="75"/>
      <c r="DY7" s="75"/>
      <c r="DZ7" s="75"/>
      <c r="EA7" s="75"/>
      <c r="EB7" s="75"/>
      <c r="EC7" s="75"/>
      <c r="ED7" s="75"/>
      <c r="EE7" s="75"/>
      <c r="EF7" s="75"/>
      <c r="EG7" s="75"/>
      <c r="EH7" s="75"/>
      <c r="EI7" s="75"/>
      <c r="EJ7" s="75"/>
      <c r="EK7" s="75"/>
      <c r="EL7" s="75"/>
      <c r="EM7" s="75"/>
      <c r="EN7" s="75"/>
      <c r="EO7" s="75"/>
      <c r="EP7" s="75"/>
      <c r="EQ7" s="75"/>
      <c r="ER7" s="75"/>
      <c r="ES7" s="75"/>
      <c r="ET7" s="75"/>
      <c r="EU7" s="75"/>
      <c r="EV7" s="75"/>
      <c r="EW7" s="75"/>
      <c r="EX7" s="75"/>
      <c r="EY7" s="75"/>
      <c r="EZ7" s="75"/>
      <c r="FA7" s="75"/>
      <c r="FB7" s="75"/>
      <c r="FC7" s="75"/>
      <c r="FD7" s="75"/>
      <c r="FE7" s="75"/>
      <c r="FF7" s="75"/>
      <c r="FG7" s="75"/>
      <c r="FH7" s="75"/>
      <c r="FI7" s="75"/>
      <c r="FJ7" s="75"/>
      <c r="FK7" s="75"/>
      <c r="FL7" s="75"/>
      <c r="FM7" s="75"/>
      <c r="FN7" s="75"/>
      <c r="FO7" s="75"/>
      <c r="FP7" s="75"/>
      <c r="FQ7" s="75"/>
      <c r="FR7" s="75"/>
      <c r="FS7" s="75"/>
      <c r="FT7" s="75"/>
      <c r="FU7" s="75"/>
      <c r="FV7" s="75"/>
      <c r="FW7" s="75"/>
      <c r="FX7" s="75"/>
      <c r="FY7" s="75"/>
      <c r="FZ7" s="75"/>
      <c r="GA7" s="75"/>
      <c r="GB7" s="75"/>
      <c r="GC7" s="75"/>
      <c r="GD7" s="75"/>
      <c r="GE7" s="75"/>
      <c r="GF7" s="75"/>
      <c r="GG7" s="75"/>
      <c r="GH7" s="75"/>
      <c r="GI7" s="75"/>
      <c r="GJ7" s="75"/>
      <c r="GK7" s="75"/>
      <c r="GL7" s="75"/>
      <c r="GM7" s="75"/>
      <c r="GN7" s="75"/>
      <c r="GO7" s="75"/>
      <c r="GP7" s="75"/>
      <c r="GQ7" s="75"/>
      <c r="GR7" s="75"/>
      <c r="GS7" s="75"/>
      <c r="GT7" s="75"/>
      <c r="GU7" s="75"/>
      <c r="GV7" s="75"/>
      <c r="GW7" s="75"/>
      <c r="GX7" s="75"/>
      <c r="GY7" s="75"/>
      <c r="GZ7" s="75"/>
      <c r="HA7" s="75"/>
      <c r="HB7" s="75"/>
      <c r="HC7" s="75"/>
      <c r="HD7" s="75"/>
      <c r="HE7" s="75"/>
      <c r="HF7" s="75"/>
      <c r="HG7" s="75"/>
      <c r="HH7" s="75"/>
      <c r="HI7" s="75"/>
      <c r="HJ7" s="75"/>
      <c r="HK7" s="75"/>
      <c r="HL7" s="75"/>
      <c r="HM7" s="75"/>
      <c r="HN7" s="75"/>
      <c r="HO7" s="75"/>
      <c r="HP7" s="75"/>
      <c r="HQ7" s="75"/>
      <c r="HR7" s="75"/>
      <c r="HS7" s="75"/>
      <c r="HT7" s="75"/>
      <c r="HU7" s="75"/>
      <c r="HV7" s="75"/>
      <c r="HW7" s="75"/>
      <c r="HX7" s="75"/>
      <c r="HY7" s="75"/>
      <c r="HZ7" s="75"/>
      <c r="IA7" s="75"/>
      <c r="IB7" s="75"/>
      <c r="IC7" s="75"/>
      <c r="ID7" s="75"/>
      <c r="IE7" s="75"/>
      <c r="IF7" s="75"/>
      <c r="IG7" s="75"/>
      <c r="IH7" s="75"/>
      <c r="II7" s="75"/>
      <c r="IJ7" s="75"/>
      <c r="IK7" s="75"/>
      <c r="IL7" s="75"/>
      <c r="IM7" s="75"/>
      <c r="IN7" s="75"/>
      <c r="IO7" s="75"/>
      <c r="IP7" s="75"/>
      <c r="IQ7" s="75"/>
      <c r="IR7" s="75"/>
      <c r="IS7" s="75"/>
      <c r="IT7" s="75"/>
      <c r="IU7" s="75"/>
      <c r="IV7" s="75"/>
      <c r="IW7" s="75"/>
      <c r="IX7" s="75"/>
      <c r="IY7" s="75"/>
      <c r="IZ7" s="75"/>
      <c r="JA7" s="75"/>
      <c r="JB7" s="75"/>
      <c r="JC7" s="75"/>
      <c r="JD7" s="75"/>
      <c r="JE7" s="75"/>
      <c r="JF7" s="75"/>
      <c r="JG7" s="75"/>
      <c r="JH7" s="75"/>
      <c r="JI7" s="75"/>
      <c r="JJ7" s="75"/>
      <c r="JK7" s="75"/>
      <c r="JL7" s="75"/>
      <c r="JM7" s="75"/>
      <c r="JN7" s="75"/>
      <c r="JO7" s="75"/>
      <c r="JP7" s="75"/>
      <c r="JQ7" s="75"/>
      <c r="JR7" s="75"/>
      <c r="JS7" s="75"/>
      <c r="JT7" s="75"/>
      <c r="JU7" s="75"/>
      <c r="JV7" s="75"/>
      <c r="JW7" s="75"/>
      <c r="JX7" s="75"/>
      <c r="JY7" s="75"/>
      <c r="JZ7" s="75"/>
      <c r="KA7" s="75"/>
      <c r="KB7" s="75"/>
      <c r="KC7" s="75"/>
      <c r="KD7" s="75"/>
      <c r="KE7" s="75"/>
      <c r="KF7" s="75"/>
      <c r="KG7" s="75"/>
      <c r="KH7" s="75"/>
      <c r="KI7" s="75"/>
      <c r="KJ7" s="75"/>
      <c r="KK7" s="75"/>
    </row>
    <row r="8" spans="1:297" ht="30" customHeight="1" x14ac:dyDescent="0.25">
      <c r="A8" s="33" t="s">
        <v>293</v>
      </c>
      <c r="B8" s="16" t="s">
        <v>289</v>
      </c>
      <c r="C8" s="4">
        <f>_xlfn.XLOOKUP(B8,Lookups!G:G,Lookups!H:H,"",0,1)</f>
        <v>3</v>
      </c>
      <c r="D8" s="4" t="str">
        <f>_xlfn.XLOOKUP(C8,[1]Sheet2!$A$2:$A$11,[1]Sheet2!$B$2:$B$11,"Not found")</f>
        <v>within 30 days</v>
      </c>
      <c r="E8" s="4"/>
      <c r="F8" s="13" t="s">
        <v>291</v>
      </c>
      <c r="G8" s="13"/>
      <c r="H8" s="13"/>
      <c r="I8" s="13"/>
      <c r="J8" s="13"/>
      <c r="K8" s="13"/>
      <c r="L8" s="13"/>
      <c r="M8" s="13"/>
      <c r="N8" s="13" t="s">
        <v>170</v>
      </c>
      <c r="O8" s="13" t="s">
        <v>170</v>
      </c>
      <c r="P8" s="13" t="s">
        <v>170</v>
      </c>
      <c r="Q8" s="13" t="s">
        <v>170</v>
      </c>
      <c r="R8" s="13"/>
      <c r="S8" s="13" t="s">
        <v>170</v>
      </c>
      <c r="T8" s="79"/>
      <c r="U8" s="79"/>
      <c r="V8" s="79"/>
      <c r="W8" s="79"/>
      <c r="X8" s="79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5"/>
      <c r="BF8" s="75"/>
      <c r="BG8" s="75"/>
      <c r="BH8" s="75"/>
      <c r="BI8" s="75"/>
      <c r="BJ8" s="75"/>
      <c r="BK8" s="75"/>
      <c r="BL8" s="75"/>
      <c r="BM8" s="75"/>
      <c r="BN8" s="75"/>
      <c r="BO8" s="75"/>
      <c r="BP8" s="75"/>
      <c r="BQ8" s="75"/>
      <c r="BR8" s="75"/>
      <c r="BS8" s="75"/>
      <c r="BT8" s="75"/>
      <c r="BU8" s="75"/>
      <c r="BV8" s="75"/>
      <c r="BW8" s="75"/>
      <c r="BX8" s="75"/>
      <c r="BY8" s="75"/>
      <c r="BZ8" s="75"/>
      <c r="CA8" s="75"/>
      <c r="CB8" s="75"/>
      <c r="CC8" s="75"/>
      <c r="CD8" s="75"/>
      <c r="CE8" s="75"/>
      <c r="CF8" s="75"/>
      <c r="CG8" s="75"/>
      <c r="CH8" s="75"/>
      <c r="CI8" s="75"/>
      <c r="CJ8" s="75"/>
      <c r="CK8" s="75"/>
      <c r="CL8" s="75"/>
      <c r="CM8" s="75"/>
      <c r="CN8" s="75"/>
      <c r="CO8" s="75"/>
      <c r="CP8" s="75"/>
      <c r="CQ8" s="75"/>
      <c r="CR8" s="75"/>
      <c r="CS8" s="75"/>
      <c r="CT8" s="75"/>
      <c r="CU8" s="75"/>
      <c r="CV8" s="75"/>
      <c r="CW8" s="75"/>
      <c r="CX8" s="75"/>
      <c r="CY8" s="75"/>
      <c r="CZ8" s="75"/>
      <c r="DA8" s="75"/>
      <c r="DB8" s="75"/>
      <c r="DC8" s="75"/>
      <c r="DD8" s="75"/>
      <c r="DE8" s="75"/>
      <c r="DF8" s="75"/>
      <c r="DG8" s="75"/>
      <c r="DH8" s="75"/>
      <c r="DI8" s="75"/>
      <c r="DJ8" s="75"/>
      <c r="DK8" s="75"/>
      <c r="DL8" s="75"/>
      <c r="DM8" s="75"/>
      <c r="DN8" s="75"/>
      <c r="DO8" s="75"/>
      <c r="DP8" s="75"/>
      <c r="DQ8" s="75"/>
      <c r="DR8" s="75"/>
      <c r="DS8" s="75"/>
      <c r="DT8" s="75"/>
      <c r="DU8" s="75"/>
      <c r="DV8" s="75"/>
      <c r="DW8" s="75"/>
      <c r="DX8" s="75"/>
      <c r="DY8" s="75"/>
      <c r="DZ8" s="75"/>
      <c r="EA8" s="75"/>
      <c r="EB8" s="75"/>
      <c r="EC8" s="75"/>
      <c r="ED8" s="75"/>
      <c r="EE8" s="75"/>
      <c r="EF8" s="75"/>
      <c r="EG8" s="75"/>
      <c r="EH8" s="75"/>
      <c r="EI8" s="75"/>
      <c r="EJ8" s="75"/>
      <c r="EK8" s="75"/>
      <c r="EL8" s="75"/>
      <c r="EM8" s="75"/>
      <c r="EN8" s="75"/>
      <c r="EO8" s="75"/>
      <c r="EP8" s="75"/>
      <c r="EQ8" s="75"/>
      <c r="ER8" s="75"/>
      <c r="ES8" s="75"/>
      <c r="ET8" s="75"/>
      <c r="EU8" s="75"/>
      <c r="EV8" s="75"/>
      <c r="EW8" s="75"/>
      <c r="EX8" s="75"/>
      <c r="EY8" s="75"/>
      <c r="EZ8" s="75"/>
      <c r="FA8" s="75"/>
      <c r="FB8" s="75"/>
      <c r="FC8" s="75"/>
      <c r="FD8" s="75"/>
      <c r="FE8" s="75"/>
      <c r="FF8" s="75"/>
      <c r="FG8" s="75"/>
      <c r="FH8" s="75"/>
      <c r="FI8" s="75"/>
      <c r="FJ8" s="75"/>
      <c r="FK8" s="75"/>
      <c r="FL8" s="75"/>
      <c r="FM8" s="75"/>
      <c r="FN8" s="75"/>
      <c r="FO8" s="75"/>
      <c r="FP8" s="75"/>
      <c r="FQ8" s="75"/>
      <c r="FR8" s="75"/>
      <c r="FS8" s="75"/>
      <c r="FT8" s="75"/>
      <c r="FU8" s="75"/>
      <c r="FV8" s="75"/>
      <c r="FW8" s="75"/>
      <c r="FX8" s="75"/>
      <c r="FY8" s="75"/>
      <c r="FZ8" s="75"/>
      <c r="GA8" s="75"/>
      <c r="GB8" s="75"/>
      <c r="GC8" s="75"/>
      <c r="GD8" s="75"/>
      <c r="GE8" s="75"/>
      <c r="GF8" s="75"/>
      <c r="GG8" s="75"/>
      <c r="GH8" s="75"/>
      <c r="GI8" s="75"/>
      <c r="GJ8" s="75"/>
      <c r="GK8" s="75"/>
      <c r="GL8" s="75"/>
      <c r="GM8" s="75"/>
      <c r="GN8" s="75"/>
      <c r="GO8" s="75"/>
      <c r="GP8" s="75"/>
      <c r="GQ8" s="75"/>
      <c r="GR8" s="75"/>
      <c r="GS8" s="75"/>
      <c r="GT8" s="75"/>
      <c r="GU8" s="75"/>
      <c r="GV8" s="75"/>
      <c r="GW8" s="75"/>
      <c r="GX8" s="75"/>
      <c r="GY8" s="75"/>
      <c r="GZ8" s="75"/>
      <c r="HA8" s="75"/>
      <c r="HB8" s="75"/>
      <c r="HC8" s="75"/>
      <c r="HD8" s="75"/>
      <c r="HE8" s="75"/>
      <c r="HF8" s="75"/>
      <c r="HG8" s="75"/>
      <c r="HH8" s="75"/>
      <c r="HI8" s="75"/>
      <c r="HJ8" s="75"/>
      <c r="HK8" s="75"/>
      <c r="HL8" s="75"/>
      <c r="HM8" s="75"/>
      <c r="HN8" s="75"/>
      <c r="HO8" s="75"/>
      <c r="HP8" s="75"/>
      <c r="HQ8" s="75"/>
      <c r="HR8" s="75"/>
      <c r="HS8" s="75"/>
      <c r="HT8" s="75"/>
      <c r="HU8" s="75"/>
      <c r="HV8" s="75"/>
      <c r="HW8" s="75"/>
      <c r="HX8" s="75"/>
      <c r="HY8" s="75"/>
      <c r="HZ8" s="75"/>
      <c r="IA8" s="75"/>
      <c r="IB8" s="75"/>
      <c r="IC8" s="75"/>
      <c r="ID8" s="75"/>
      <c r="IE8" s="75"/>
      <c r="IF8" s="75"/>
      <c r="IG8" s="75"/>
      <c r="IH8" s="75"/>
      <c r="II8" s="75"/>
      <c r="IJ8" s="75"/>
      <c r="IK8" s="75"/>
      <c r="IL8" s="75"/>
      <c r="IM8" s="75"/>
      <c r="IN8" s="75"/>
      <c r="IO8" s="75"/>
      <c r="IP8" s="75"/>
      <c r="IQ8" s="75"/>
      <c r="IR8" s="75"/>
      <c r="IS8" s="75"/>
      <c r="IT8" s="75"/>
      <c r="IU8" s="75"/>
      <c r="IV8" s="75"/>
      <c r="IW8" s="75"/>
      <c r="IX8" s="75"/>
      <c r="IY8" s="75"/>
      <c r="IZ8" s="75"/>
      <c r="JA8" s="75"/>
      <c r="JB8" s="75"/>
      <c r="JC8" s="75"/>
      <c r="JD8" s="75"/>
      <c r="JE8" s="75"/>
      <c r="JF8" s="75"/>
      <c r="JG8" s="75"/>
      <c r="JH8" s="75"/>
      <c r="JI8" s="75"/>
      <c r="JJ8" s="75"/>
      <c r="JK8" s="75"/>
      <c r="JL8" s="75"/>
      <c r="JM8" s="75"/>
      <c r="JN8" s="75"/>
      <c r="JO8" s="75"/>
      <c r="JP8" s="75"/>
      <c r="JQ8" s="75"/>
      <c r="JR8" s="75"/>
      <c r="JS8" s="75"/>
      <c r="JT8" s="75"/>
      <c r="JU8" s="75"/>
      <c r="JV8" s="75"/>
      <c r="JW8" s="75"/>
      <c r="JX8" s="75"/>
      <c r="JY8" s="75"/>
      <c r="JZ8" s="75"/>
      <c r="KA8" s="75"/>
      <c r="KB8" s="75"/>
      <c r="KC8" s="75"/>
      <c r="KD8" s="75"/>
      <c r="KE8" s="75"/>
      <c r="KF8" s="75"/>
      <c r="KG8" s="75"/>
      <c r="KH8" s="75"/>
      <c r="KI8" s="75"/>
      <c r="KJ8" s="75"/>
      <c r="KK8" s="75"/>
    </row>
    <row r="9" spans="1:297" ht="30" customHeight="1" x14ac:dyDescent="0.25">
      <c r="A9" s="33" t="s">
        <v>69</v>
      </c>
      <c r="B9" s="16" t="s">
        <v>285</v>
      </c>
      <c r="C9" s="4">
        <v>3</v>
      </c>
      <c r="D9" s="4" t="str">
        <f>_xlfn.XLOOKUP(C9,[1]Sheet2!$A$2:$A$11,[1]Sheet2!$B$2:$B$11,"Not found")</f>
        <v>within 30 days</v>
      </c>
      <c r="E9" s="4"/>
      <c r="F9" s="4" t="s">
        <v>284</v>
      </c>
      <c r="G9" s="13" t="s">
        <v>170</v>
      </c>
      <c r="H9" s="13" t="s">
        <v>169</v>
      </c>
      <c r="I9" s="13" t="s">
        <v>169</v>
      </c>
      <c r="J9" s="13" t="s">
        <v>169</v>
      </c>
      <c r="K9" s="13" t="s">
        <v>169</v>
      </c>
      <c r="L9" s="13" t="s">
        <v>169</v>
      </c>
      <c r="M9" s="13" t="s">
        <v>169</v>
      </c>
      <c r="N9" s="13" t="s">
        <v>169</v>
      </c>
      <c r="O9" s="13" t="s">
        <v>169</v>
      </c>
      <c r="P9" s="13" t="s">
        <v>169</v>
      </c>
      <c r="Q9" s="13" t="s">
        <v>169</v>
      </c>
      <c r="R9" s="13" t="s">
        <v>169</v>
      </c>
      <c r="S9" s="13" t="s">
        <v>169</v>
      </c>
      <c r="T9" s="79"/>
      <c r="U9" s="79"/>
      <c r="V9" s="79"/>
      <c r="W9" s="79"/>
      <c r="X9" s="79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5"/>
      <c r="CG9" s="75"/>
      <c r="CH9" s="75"/>
      <c r="CI9" s="75"/>
      <c r="CJ9" s="75"/>
      <c r="CK9" s="75"/>
      <c r="CL9" s="75"/>
      <c r="CM9" s="75"/>
      <c r="CN9" s="75"/>
      <c r="CO9" s="75"/>
      <c r="CP9" s="75"/>
      <c r="CQ9" s="75"/>
      <c r="CR9" s="75"/>
      <c r="CS9" s="75"/>
      <c r="CT9" s="75"/>
      <c r="CU9" s="75"/>
      <c r="CV9" s="75"/>
      <c r="CW9" s="75"/>
      <c r="CX9" s="75"/>
      <c r="CY9" s="75"/>
      <c r="CZ9" s="75"/>
      <c r="DA9" s="75"/>
      <c r="DB9" s="75"/>
      <c r="DC9" s="75"/>
      <c r="DD9" s="75"/>
      <c r="DE9" s="75"/>
      <c r="DF9" s="75"/>
      <c r="DG9" s="75"/>
      <c r="DH9" s="75"/>
      <c r="DI9" s="75"/>
      <c r="DJ9" s="75"/>
      <c r="DK9" s="75"/>
      <c r="DL9" s="75"/>
      <c r="DM9" s="75"/>
      <c r="DN9" s="75"/>
      <c r="DO9" s="75"/>
      <c r="DP9" s="75"/>
      <c r="DQ9" s="75"/>
      <c r="DR9" s="75"/>
      <c r="DS9" s="75"/>
      <c r="DT9" s="75"/>
      <c r="DU9" s="75"/>
      <c r="DV9" s="75"/>
      <c r="DW9" s="75"/>
      <c r="DX9" s="75"/>
      <c r="DY9" s="75"/>
      <c r="DZ9" s="75"/>
      <c r="EA9" s="75"/>
      <c r="EB9" s="75"/>
      <c r="EC9" s="75"/>
      <c r="ED9" s="75"/>
      <c r="EE9" s="75"/>
      <c r="EF9" s="75"/>
      <c r="EG9" s="75"/>
      <c r="EH9" s="75"/>
      <c r="EI9" s="75"/>
      <c r="EJ9" s="75"/>
      <c r="EK9" s="75"/>
      <c r="EL9" s="75"/>
      <c r="EM9" s="75"/>
      <c r="EN9" s="75"/>
      <c r="EO9" s="75"/>
      <c r="EP9" s="75"/>
      <c r="EQ9" s="75"/>
      <c r="ER9" s="75"/>
      <c r="ES9" s="75"/>
      <c r="ET9" s="75"/>
      <c r="EU9" s="75"/>
      <c r="EV9" s="75"/>
      <c r="EW9" s="75"/>
      <c r="EX9" s="75"/>
      <c r="EY9" s="75"/>
      <c r="EZ9" s="75"/>
      <c r="FA9" s="75"/>
      <c r="FB9" s="75"/>
      <c r="FC9" s="75"/>
      <c r="FD9" s="75"/>
      <c r="FE9" s="75"/>
      <c r="FF9" s="75"/>
      <c r="FG9" s="75"/>
      <c r="FH9" s="75"/>
      <c r="FI9" s="75"/>
      <c r="FJ9" s="75"/>
      <c r="FK9" s="75"/>
      <c r="FL9" s="75"/>
      <c r="FM9" s="75"/>
      <c r="FN9" s="75"/>
      <c r="FO9" s="75"/>
      <c r="FP9" s="75"/>
      <c r="FQ9" s="75"/>
      <c r="FR9" s="75"/>
      <c r="FS9" s="75"/>
      <c r="FT9" s="75"/>
      <c r="FU9" s="75"/>
      <c r="FV9" s="75"/>
      <c r="FW9" s="75"/>
      <c r="FX9" s="75"/>
      <c r="FY9" s="75"/>
      <c r="FZ9" s="75"/>
      <c r="GA9" s="75"/>
      <c r="GB9" s="75"/>
      <c r="GC9" s="75"/>
      <c r="GD9" s="75"/>
      <c r="GE9" s="75"/>
      <c r="GF9" s="75"/>
      <c r="GG9" s="75"/>
      <c r="GH9" s="75"/>
      <c r="GI9" s="75"/>
      <c r="GJ9" s="75"/>
      <c r="GK9" s="75"/>
      <c r="GL9" s="75"/>
      <c r="GM9" s="75"/>
      <c r="GN9" s="75"/>
      <c r="GO9" s="75"/>
      <c r="GP9" s="75"/>
      <c r="GQ9" s="75"/>
      <c r="GR9" s="75"/>
      <c r="GS9" s="75"/>
      <c r="GT9" s="75"/>
      <c r="GU9" s="75"/>
      <c r="GV9" s="75"/>
      <c r="GW9" s="75"/>
      <c r="GX9" s="75"/>
      <c r="GY9" s="75"/>
      <c r="GZ9" s="75"/>
      <c r="HA9" s="75"/>
      <c r="HB9" s="75"/>
      <c r="HC9" s="75"/>
      <c r="HD9" s="75"/>
      <c r="HE9" s="75"/>
      <c r="HF9" s="75"/>
      <c r="HG9" s="75"/>
      <c r="HH9" s="75"/>
      <c r="HI9" s="75"/>
      <c r="HJ9" s="75"/>
      <c r="HK9" s="75"/>
      <c r="HL9" s="75"/>
      <c r="HM9" s="75"/>
      <c r="HN9" s="75"/>
      <c r="HO9" s="75"/>
      <c r="HP9" s="75"/>
      <c r="HQ9" s="75"/>
      <c r="HR9" s="75"/>
      <c r="HS9" s="75"/>
      <c r="HT9" s="75"/>
      <c r="HU9" s="75"/>
      <c r="HV9" s="75"/>
      <c r="HW9" s="75"/>
      <c r="HX9" s="75"/>
      <c r="HY9" s="75"/>
      <c r="HZ9" s="75"/>
      <c r="IA9" s="75"/>
      <c r="IB9" s="75"/>
      <c r="IC9" s="75"/>
      <c r="ID9" s="75"/>
      <c r="IE9" s="75"/>
      <c r="IF9" s="75"/>
      <c r="IG9" s="75"/>
      <c r="IH9" s="75"/>
      <c r="II9" s="75"/>
      <c r="IJ9" s="75"/>
      <c r="IK9" s="75"/>
      <c r="IL9" s="75"/>
      <c r="IM9" s="75"/>
      <c r="IN9" s="75"/>
      <c r="IO9" s="75"/>
      <c r="IP9" s="75"/>
      <c r="IQ9" s="75"/>
      <c r="IR9" s="75"/>
      <c r="IS9" s="75"/>
      <c r="IT9" s="75"/>
      <c r="IU9" s="75"/>
      <c r="IV9" s="75"/>
      <c r="IW9" s="75"/>
      <c r="IX9" s="75"/>
      <c r="IY9" s="75"/>
      <c r="IZ9" s="75"/>
      <c r="JA9" s="75"/>
      <c r="JB9" s="75"/>
      <c r="JC9" s="75"/>
      <c r="JD9" s="75"/>
      <c r="JE9" s="75"/>
      <c r="JF9" s="75"/>
      <c r="JG9" s="75"/>
      <c r="JH9" s="75"/>
      <c r="JI9" s="75"/>
      <c r="JJ9" s="75"/>
      <c r="JK9" s="75"/>
      <c r="JL9" s="75"/>
      <c r="JM9" s="75"/>
      <c r="JN9" s="75"/>
      <c r="JO9" s="75"/>
      <c r="JP9" s="75"/>
      <c r="JQ9" s="75"/>
      <c r="JR9" s="75"/>
      <c r="JS9" s="75"/>
      <c r="JT9" s="75"/>
      <c r="JU9" s="75"/>
      <c r="JV9" s="75"/>
      <c r="JW9" s="75"/>
      <c r="JX9" s="75"/>
      <c r="JY9" s="75"/>
      <c r="JZ9" s="75"/>
      <c r="KA9" s="75"/>
      <c r="KB9" s="75"/>
      <c r="KC9" s="75"/>
      <c r="KD9" s="75"/>
      <c r="KE9" s="75"/>
      <c r="KF9" s="75"/>
      <c r="KG9" s="75"/>
      <c r="KH9" s="75"/>
      <c r="KI9" s="75"/>
      <c r="KJ9" s="75"/>
      <c r="KK9" s="75"/>
    </row>
    <row r="10" spans="1:297" ht="30" customHeight="1" x14ac:dyDescent="0.25">
      <c r="A10" s="33" t="s">
        <v>70</v>
      </c>
      <c r="B10" s="12" t="s">
        <v>71</v>
      </c>
      <c r="C10" s="4">
        <f>_xlfn.XLOOKUP(B10,Lookups!G:G,Lookups!H:H,"",0,1)</f>
        <v>4</v>
      </c>
      <c r="D10" s="4" t="str">
        <f>_xlfn.XLOOKUP(C10,[1]Sheet2!$A$2:$A$11,[1]Sheet2!$B$2:$B$11,"Not found")</f>
        <v>within 60 days</v>
      </c>
      <c r="E10" s="4"/>
      <c r="F10" s="13" t="str">
        <f>_xlfn.XLOOKUP(B10,'Holiday Inn Express'!B:B,'Holiday Inn Express'!F:F,"",0,1)</f>
        <v>Self-paced Online Learning (1 Hour 45 Minutes).</v>
      </c>
      <c r="G10" s="13" t="s">
        <v>170</v>
      </c>
      <c r="H10" s="13" t="s">
        <v>170</v>
      </c>
      <c r="I10" s="13" t="s">
        <v>170</v>
      </c>
      <c r="J10" s="13" t="s">
        <v>170</v>
      </c>
      <c r="K10" s="13" t="s">
        <v>170</v>
      </c>
      <c r="L10" s="13" t="s">
        <v>170</v>
      </c>
      <c r="M10" s="13" t="s">
        <v>170</v>
      </c>
      <c r="N10" s="13" t="s">
        <v>169</v>
      </c>
      <c r="O10" s="13" t="s">
        <v>169</v>
      </c>
      <c r="P10" s="13" t="s">
        <v>169</v>
      </c>
      <c r="Q10" s="13" t="s">
        <v>169</v>
      </c>
      <c r="R10" s="13" t="s">
        <v>170</v>
      </c>
      <c r="S10" s="13" t="s">
        <v>169</v>
      </c>
      <c r="T10" s="79"/>
      <c r="U10" s="79"/>
      <c r="V10" s="79"/>
      <c r="W10" s="79"/>
      <c r="X10" s="79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75"/>
      <c r="BS10" s="75"/>
      <c r="BT10" s="75"/>
      <c r="BU10" s="75"/>
      <c r="BV10" s="75"/>
      <c r="BW10" s="75"/>
      <c r="BX10" s="75"/>
      <c r="BY10" s="75"/>
      <c r="BZ10" s="75"/>
      <c r="CA10" s="75"/>
      <c r="CB10" s="75"/>
      <c r="CC10" s="75"/>
      <c r="CD10" s="75"/>
      <c r="CE10" s="75"/>
      <c r="CF10" s="75"/>
      <c r="CG10" s="75"/>
      <c r="CH10" s="75"/>
      <c r="CI10" s="75"/>
      <c r="CJ10" s="75"/>
      <c r="CK10" s="75"/>
      <c r="CL10" s="75"/>
      <c r="CM10" s="75"/>
      <c r="CN10" s="75"/>
      <c r="CO10" s="75"/>
      <c r="CP10" s="75"/>
      <c r="CQ10" s="75"/>
      <c r="CR10" s="75"/>
      <c r="CS10" s="75"/>
      <c r="CT10" s="75"/>
      <c r="CU10" s="75"/>
      <c r="CV10" s="75"/>
      <c r="CW10" s="75"/>
      <c r="CX10" s="75"/>
      <c r="CY10" s="75"/>
      <c r="CZ10" s="75"/>
      <c r="DA10" s="75"/>
      <c r="DB10" s="75"/>
      <c r="DC10" s="75"/>
      <c r="DD10" s="75"/>
      <c r="DE10" s="75"/>
      <c r="DF10" s="75"/>
      <c r="DG10" s="75"/>
      <c r="DH10" s="75"/>
      <c r="DI10" s="75"/>
      <c r="DJ10" s="75"/>
      <c r="DK10" s="75"/>
      <c r="DL10" s="75"/>
      <c r="DM10" s="75"/>
      <c r="DN10" s="75"/>
      <c r="DO10" s="75"/>
      <c r="DP10" s="75"/>
      <c r="DQ10" s="75"/>
      <c r="DR10" s="75"/>
      <c r="DS10" s="75"/>
      <c r="DT10" s="75"/>
      <c r="DU10" s="75"/>
      <c r="DV10" s="75"/>
      <c r="DW10" s="75"/>
      <c r="DX10" s="75"/>
      <c r="DY10" s="75"/>
      <c r="DZ10" s="75"/>
      <c r="EA10" s="75"/>
      <c r="EB10" s="75"/>
      <c r="EC10" s="75"/>
      <c r="ED10" s="75"/>
      <c r="EE10" s="75"/>
      <c r="EF10" s="75"/>
      <c r="EG10" s="75"/>
      <c r="EH10" s="75"/>
      <c r="EI10" s="75"/>
      <c r="EJ10" s="75"/>
      <c r="EK10" s="75"/>
      <c r="EL10" s="75"/>
      <c r="EM10" s="75"/>
      <c r="EN10" s="75"/>
      <c r="EO10" s="75"/>
      <c r="EP10" s="75"/>
      <c r="EQ10" s="75"/>
      <c r="ER10" s="75"/>
      <c r="ES10" s="75"/>
      <c r="ET10" s="75"/>
      <c r="EU10" s="75"/>
      <c r="EV10" s="75"/>
      <c r="EW10" s="75"/>
      <c r="EX10" s="75"/>
      <c r="EY10" s="75"/>
      <c r="EZ10" s="75"/>
      <c r="FA10" s="75"/>
      <c r="FB10" s="75"/>
      <c r="FC10" s="75"/>
      <c r="FD10" s="75"/>
      <c r="FE10" s="75"/>
      <c r="FF10" s="75"/>
      <c r="FG10" s="75"/>
      <c r="FH10" s="75"/>
      <c r="FI10" s="75"/>
      <c r="FJ10" s="75"/>
      <c r="FK10" s="75"/>
      <c r="FL10" s="75"/>
      <c r="FM10" s="75"/>
      <c r="FN10" s="75"/>
      <c r="FO10" s="75"/>
      <c r="FP10" s="75"/>
      <c r="FQ10" s="75"/>
      <c r="FR10" s="75"/>
      <c r="FS10" s="75"/>
      <c r="FT10" s="75"/>
      <c r="FU10" s="75"/>
      <c r="FV10" s="75"/>
      <c r="FW10" s="75"/>
      <c r="FX10" s="75"/>
      <c r="FY10" s="75"/>
      <c r="FZ10" s="75"/>
      <c r="GA10" s="75"/>
      <c r="GB10" s="75"/>
      <c r="GC10" s="75"/>
      <c r="GD10" s="75"/>
      <c r="GE10" s="75"/>
      <c r="GF10" s="75"/>
      <c r="GG10" s="75"/>
      <c r="GH10" s="75"/>
      <c r="GI10" s="75"/>
      <c r="GJ10" s="75"/>
      <c r="GK10" s="75"/>
      <c r="GL10" s="75"/>
      <c r="GM10" s="75"/>
      <c r="GN10" s="75"/>
      <c r="GO10" s="75"/>
      <c r="GP10" s="75"/>
      <c r="GQ10" s="75"/>
      <c r="GR10" s="75"/>
      <c r="GS10" s="75"/>
      <c r="GT10" s="75"/>
      <c r="GU10" s="75"/>
      <c r="GV10" s="75"/>
      <c r="GW10" s="75"/>
      <c r="GX10" s="75"/>
      <c r="GY10" s="75"/>
      <c r="GZ10" s="75"/>
      <c r="HA10" s="75"/>
      <c r="HB10" s="75"/>
      <c r="HC10" s="75"/>
      <c r="HD10" s="75"/>
      <c r="HE10" s="75"/>
      <c r="HF10" s="75"/>
      <c r="HG10" s="75"/>
      <c r="HH10" s="75"/>
      <c r="HI10" s="75"/>
      <c r="HJ10" s="75"/>
      <c r="HK10" s="75"/>
      <c r="HL10" s="75"/>
      <c r="HM10" s="75"/>
      <c r="HN10" s="75"/>
      <c r="HO10" s="75"/>
      <c r="HP10" s="75"/>
      <c r="HQ10" s="75"/>
      <c r="HR10" s="75"/>
      <c r="HS10" s="75"/>
      <c r="HT10" s="75"/>
      <c r="HU10" s="75"/>
      <c r="HV10" s="75"/>
      <c r="HW10" s="75"/>
      <c r="HX10" s="75"/>
      <c r="HY10" s="75"/>
      <c r="HZ10" s="75"/>
      <c r="IA10" s="75"/>
      <c r="IB10" s="75"/>
      <c r="IC10" s="75"/>
      <c r="ID10" s="75"/>
      <c r="IE10" s="75"/>
      <c r="IF10" s="75"/>
      <c r="IG10" s="75"/>
      <c r="IH10" s="75"/>
      <c r="II10" s="75"/>
      <c r="IJ10" s="75"/>
      <c r="IK10" s="75"/>
      <c r="IL10" s="75"/>
      <c r="IM10" s="75"/>
      <c r="IN10" s="75"/>
      <c r="IO10" s="75"/>
      <c r="IP10" s="75"/>
      <c r="IQ10" s="75"/>
      <c r="IR10" s="75"/>
      <c r="IS10" s="75"/>
      <c r="IT10" s="75"/>
      <c r="IU10" s="75"/>
      <c r="IV10" s="75"/>
      <c r="IW10" s="75"/>
      <c r="IX10" s="75"/>
      <c r="IY10" s="75"/>
      <c r="IZ10" s="75"/>
      <c r="JA10" s="75"/>
      <c r="JB10" s="75"/>
      <c r="JC10" s="75"/>
      <c r="JD10" s="75"/>
      <c r="JE10" s="75"/>
      <c r="JF10" s="75"/>
      <c r="JG10" s="75"/>
      <c r="JH10" s="75"/>
      <c r="JI10" s="75"/>
      <c r="JJ10" s="75"/>
      <c r="JK10" s="75"/>
      <c r="JL10" s="75"/>
      <c r="JM10" s="75"/>
      <c r="JN10" s="75"/>
      <c r="JO10" s="75"/>
      <c r="JP10" s="75"/>
      <c r="JQ10" s="75"/>
      <c r="JR10" s="75"/>
      <c r="JS10" s="75"/>
      <c r="JT10" s="75"/>
      <c r="JU10" s="75"/>
      <c r="JV10" s="75"/>
      <c r="JW10" s="75"/>
      <c r="JX10" s="75"/>
      <c r="JY10" s="75"/>
      <c r="JZ10" s="75"/>
      <c r="KA10" s="75"/>
      <c r="KB10" s="75"/>
      <c r="KC10" s="75"/>
      <c r="KD10" s="75"/>
      <c r="KE10" s="75"/>
      <c r="KF10" s="75"/>
      <c r="KG10" s="75"/>
      <c r="KH10" s="75"/>
      <c r="KI10" s="75"/>
      <c r="KJ10" s="75"/>
      <c r="KK10" s="75"/>
    </row>
    <row r="11" spans="1:297" ht="30" customHeight="1" x14ac:dyDescent="0.25">
      <c r="A11" s="33" t="s">
        <v>274</v>
      </c>
      <c r="B11" s="3" t="s">
        <v>274</v>
      </c>
      <c r="C11" s="4">
        <v>10</v>
      </c>
      <c r="D11" s="4" t="str">
        <f>_xlfn.XLOOKUP(C11,[1]Sheet2!$A$2:$A$11,[1]Sheet2!$B$2:$B$11,"Not found")</f>
        <v>Suggested Learning</v>
      </c>
      <c r="E11" s="4"/>
      <c r="F11" s="13" t="str">
        <f>_xlfn.XLOOKUP(B11,'Holiday Inn Express'!B:B,'Holiday Inn Express'!F:F,"",0,1)</f>
        <v>Explore resource and apply accordingly</v>
      </c>
      <c r="G11" s="13" t="s">
        <v>170</v>
      </c>
      <c r="H11" s="13" t="s">
        <v>170</v>
      </c>
      <c r="I11" s="13" t="s">
        <v>170</v>
      </c>
      <c r="J11" s="13" t="s">
        <v>170</v>
      </c>
      <c r="K11" s="13" t="s">
        <v>170</v>
      </c>
      <c r="L11" s="13" t="s">
        <v>170</v>
      </c>
      <c r="M11" s="13" t="s">
        <v>170</v>
      </c>
      <c r="N11" s="13" t="s">
        <v>169</v>
      </c>
      <c r="O11" s="13" t="s">
        <v>169</v>
      </c>
      <c r="P11" s="13" t="s">
        <v>169</v>
      </c>
      <c r="Q11" s="13" t="s">
        <v>169</v>
      </c>
      <c r="R11" s="13" t="s">
        <v>170</v>
      </c>
      <c r="S11" s="13" t="s">
        <v>169</v>
      </c>
      <c r="T11" s="79"/>
      <c r="U11" s="79"/>
      <c r="V11" s="79"/>
      <c r="W11" s="79"/>
      <c r="X11" s="79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5"/>
      <c r="BF11" s="75"/>
      <c r="BG11" s="75"/>
      <c r="BH11" s="75"/>
      <c r="BI11" s="75"/>
      <c r="BJ11" s="75"/>
      <c r="BK11" s="75"/>
      <c r="BL11" s="75"/>
      <c r="BM11" s="75"/>
      <c r="BN11" s="75"/>
      <c r="BO11" s="75"/>
      <c r="BP11" s="75"/>
      <c r="BQ11" s="75"/>
      <c r="BR11" s="75"/>
      <c r="BS11" s="75"/>
      <c r="BT11" s="75"/>
      <c r="BU11" s="75"/>
      <c r="BV11" s="75"/>
      <c r="BW11" s="75"/>
      <c r="BX11" s="75"/>
      <c r="BY11" s="75"/>
      <c r="BZ11" s="75"/>
      <c r="CA11" s="75"/>
      <c r="CB11" s="75"/>
      <c r="CC11" s="75"/>
      <c r="CD11" s="75"/>
      <c r="CE11" s="75"/>
      <c r="CF11" s="75"/>
      <c r="CG11" s="75"/>
      <c r="CH11" s="75"/>
      <c r="CI11" s="75"/>
      <c r="CJ11" s="75"/>
      <c r="CK11" s="75"/>
      <c r="CL11" s="75"/>
      <c r="CM11" s="75"/>
      <c r="CN11" s="75"/>
      <c r="CO11" s="75"/>
      <c r="CP11" s="75"/>
      <c r="CQ11" s="75"/>
      <c r="CR11" s="75"/>
      <c r="CS11" s="75"/>
      <c r="CT11" s="75"/>
      <c r="CU11" s="75"/>
      <c r="CV11" s="75"/>
      <c r="CW11" s="75"/>
      <c r="CX11" s="75"/>
      <c r="CY11" s="75"/>
      <c r="CZ11" s="75"/>
      <c r="DA11" s="75"/>
      <c r="DB11" s="75"/>
      <c r="DC11" s="75"/>
      <c r="DD11" s="75"/>
      <c r="DE11" s="75"/>
      <c r="DF11" s="75"/>
      <c r="DG11" s="75"/>
      <c r="DH11" s="75"/>
      <c r="DI11" s="75"/>
      <c r="DJ11" s="75"/>
      <c r="DK11" s="75"/>
      <c r="DL11" s="75"/>
      <c r="DM11" s="75"/>
      <c r="DN11" s="75"/>
      <c r="DO11" s="75"/>
      <c r="DP11" s="75"/>
      <c r="DQ11" s="75"/>
      <c r="DR11" s="75"/>
      <c r="DS11" s="75"/>
      <c r="DT11" s="75"/>
      <c r="DU11" s="75"/>
      <c r="DV11" s="75"/>
      <c r="DW11" s="75"/>
      <c r="DX11" s="75"/>
      <c r="DY11" s="75"/>
      <c r="DZ11" s="75"/>
      <c r="EA11" s="75"/>
      <c r="EB11" s="75"/>
      <c r="EC11" s="75"/>
      <c r="ED11" s="75"/>
      <c r="EE11" s="75"/>
      <c r="EF11" s="75"/>
      <c r="EG11" s="75"/>
      <c r="EH11" s="75"/>
      <c r="EI11" s="75"/>
      <c r="EJ11" s="75"/>
      <c r="EK11" s="75"/>
      <c r="EL11" s="75"/>
      <c r="EM11" s="75"/>
      <c r="EN11" s="75"/>
      <c r="EO11" s="75"/>
      <c r="EP11" s="75"/>
      <c r="EQ11" s="75"/>
      <c r="ER11" s="75"/>
      <c r="ES11" s="75"/>
      <c r="ET11" s="75"/>
      <c r="EU11" s="75"/>
      <c r="EV11" s="75"/>
      <c r="EW11" s="75"/>
      <c r="EX11" s="75"/>
      <c r="EY11" s="75"/>
      <c r="EZ11" s="75"/>
      <c r="FA11" s="75"/>
      <c r="FB11" s="75"/>
      <c r="FC11" s="75"/>
      <c r="FD11" s="75"/>
      <c r="FE11" s="75"/>
      <c r="FF11" s="75"/>
      <c r="FG11" s="75"/>
      <c r="FH11" s="75"/>
      <c r="FI11" s="75"/>
      <c r="FJ11" s="75"/>
      <c r="FK11" s="75"/>
      <c r="FL11" s="75"/>
      <c r="FM11" s="75"/>
      <c r="FN11" s="75"/>
      <c r="FO11" s="75"/>
      <c r="FP11" s="75"/>
      <c r="FQ11" s="75"/>
      <c r="FR11" s="75"/>
      <c r="FS11" s="75"/>
      <c r="FT11" s="75"/>
      <c r="FU11" s="75"/>
      <c r="FV11" s="75"/>
      <c r="FW11" s="75"/>
      <c r="FX11" s="75"/>
      <c r="FY11" s="75"/>
      <c r="FZ11" s="75"/>
      <c r="GA11" s="75"/>
      <c r="GB11" s="75"/>
      <c r="GC11" s="75"/>
      <c r="GD11" s="75"/>
      <c r="GE11" s="75"/>
      <c r="GF11" s="75"/>
      <c r="GG11" s="75"/>
      <c r="GH11" s="75"/>
      <c r="GI11" s="75"/>
      <c r="GJ11" s="75"/>
      <c r="GK11" s="75"/>
      <c r="GL11" s="75"/>
      <c r="GM11" s="75"/>
      <c r="GN11" s="75"/>
      <c r="GO11" s="75"/>
      <c r="GP11" s="75"/>
      <c r="GQ11" s="75"/>
      <c r="GR11" s="75"/>
      <c r="GS11" s="75"/>
      <c r="GT11" s="75"/>
      <c r="GU11" s="75"/>
      <c r="GV11" s="75"/>
      <c r="GW11" s="75"/>
      <c r="GX11" s="75"/>
      <c r="GY11" s="75"/>
      <c r="GZ11" s="75"/>
      <c r="HA11" s="75"/>
      <c r="HB11" s="75"/>
      <c r="HC11" s="75"/>
      <c r="HD11" s="75"/>
      <c r="HE11" s="75"/>
      <c r="HF11" s="75"/>
      <c r="HG11" s="75"/>
      <c r="HH11" s="75"/>
      <c r="HI11" s="75"/>
      <c r="HJ11" s="75"/>
      <c r="HK11" s="75"/>
      <c r="HL11" s="75"/>
      <c r="HM11" s="75"/>
      <c r="HN11" s="75"/>
      <c r="HO11" s="75"/>
      <c r="HP11" s="75"/>
      <c r="HQ11" s="75"/>
      <c r="HR11" s="75"/>
      <c r="HS11" s="75"/>
      <c r="HT11" s="75"/>
      <c r="HU11" s="75"/>
      <c r="HV11" s="75"/>
      <c r="HW11" s="75"/>
      <c r="HX11" s="75"/>
      <c r="HY11" s="75"/>
      <c r="HZ11" s="75"/>
      <c r="IA11" s="75"/>
      <c r="IB11" s="75"/>
      <c r="IC11" s="75"/>
      <c r="ID11" s="75"/>
      <c r="IE11" s="75"/>
      <c r="IF11" s="75"/>
      <c r="IG11" s="75"/>
      <c r="IH11" s="75"/>
      <c r="II11" s="75"/>
      <c r="IJ11" s="75"/>
      <c r="IK11" s="75"/>
      <c r="IL11" s="75"/>
      <c r="IM11" s="75"/>
      <c r="IN11" s="75"/>
      <c r="IO11" s="75"/>
      <c r="IP11" s="75"/>
      <c r="IQ11" s="75"/>
      <c r="IR11" s="75"/>
      <c r="IS11" s="75"/>
      <c r="IT11" s="75"/>
      <c r="IU11" s="75"/>
      <c r="IV11" s="75"/>
      <c r="IW11" s="75"/>
      <c r="IX11" s="75"/>
      <c r="IY11" s="75"/>
      <c r="IZ11" s="75"/>
      <c r="JA11" s="75"/>
      <c r="JB11" s="75"/>
      <c r="JC11" s="75"/>
      <c r="JD11" s="75"/>
      <c r="JE11" s="75"/>
      <c r="JF11" s="75"/>
      <c r="JG11" s="75"/>
      <c r="JH11" s="75"/>
      <c r="JI11" s="75"/>
      <c r="JJ11" s="75"/>
      <c r="JK11" s="75"/>
      <c r="JL11" s="75"/>
      <c r="JM11" s="75"/>
      <c r="JN11" s="75"/>
      <c r="JO11" s="75"/>
      <c r="JP11" s="75"/>
      <c r="JQ11" s="75"/>
      <c r="JR11" s="75"/>
      <c r="JS11" s="75"/>
      <c r="JT11" s="75"/>
      <c r="JU11" s="75"/>
      <c r="JV11" s="75"/>
      <c r="JW11" s="75"/>
      <c r="JX11" s="75"/>
      <c r="JY11" s="75"/>
      <c r="JZ11" s="75"/>
      <c r="KA11" s="75"/>
      <c r="KB11" s="75"/>
      <c r="KC11" s="75"/>
      <c r="KD11" s="75"/>
      <c r="KE11" s="75"/>
      <c r="KF11" s="75"/>
      <c r="KG11" s="75"/>
      <c r="KH11" s="75"/>
      <c r="KI11" s="75"/>
      <c r="KJ11" s="75"/>
      <c r="KK11" s="75"/>
    </row>
    <row r="12" spans="1:297" ht="30" customHeight="1" x14ac:dyDescent="0.25">
      <c r="A12" s="33" t="s">
        <v>168</v>
      </c>
      <c r="B12" s="12" t="s">
        <v>72</v>
      </c>
      <c r="C12" s="4">
        <f>_xlfn.XLOOKUP(B12,Lookups!G:G,Lookups!H:H,"",0,1)</f>
        <v>3</v>
      </c>
      <c r="D12" s="4" t="str">
        <f>_xlfn.XLOOKUP(C12,[1]Sheet2!$A$2:$A$11,[1]Sheet2!$B$2:$B$11,"Not found")</f>
        <v>within 30 days</v>
      </c>
      <c r="E12" s="4"/>
      <c r="F12" s="13" t="str">
        <f>_xlfn.XLOOKUP(B12,'Holiday Inn Express'!B:B,'Holiday Inn Express'!F:F,"",0,1)</f>
        <v xml:space="preserve">Self-paced Online Learning (1 Hour). Hotel-led in-person training (On-Job-Training, OJT) is permitted &amp; completions must be tracked in myLearning. </v>
      </c>
      <c r="G12" s="13" t="s">
        <v>170</v>
      </c>
      <c r="H12" s="13" t="s">
        <v>170</v>
      </c>
      <c r="I12" s="13" t="s">
        <v>170</v>
      </c>
      <c r="J12" s="13" t="s">
        <v>170</v>
      </c>
      <c r="K12" s="13" t="s">
        <v>170</v>
      </c>
      <c r="L12" s="13" t="s">
        <v>170</v>
      </c>
      <c r="M12" s="13" t="s">
        <v>170</v>
      </c>
      <c r="N12" s="13" t="s">
        <v>170</v>
      </c>
      <c r="O12" s="13" t="s">
        <v>170</v>
      </c>
      <c r="P12" s="13" t="s">
        <v>170</v>
      </c>
      <c r="Q12" s="13" t="s">
        <v>170</v>
      </c>
      <c r="R12" s="13" t="s">
        <v>170</v>
      </c>
      <c r="S12" s="13" t="s">
        <v>170</v>
      </c>
      <c r="T12" s="79"/>
      <c r="U12" s="79"/>
      <c r="V12" s="79"/>
      <c r="W12" s="79"/>
      <c r="X12" s="79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5"/>
      <c r="BF12" s="75"/>
      <c r="BG12" s="75"/>
      <c r="BH12" s="75"/>
      <c r="BI12" s="75"/>
      <c r="BJ12" s="75"/>
      <c r="BK12" s="75"/>
      <c r="BL12" s="75"/>
      <c r="BM12" s="75"/>
      <c r="BN12" s="75"/>
      <c r="BO12" s="75"/>
      <c r="BP12" s="75"/>
      <c r="BQ12" s="75"/>
      <c r="BR12" s="75"/>
      <c r="BS12" s="75"/>
      <c r="BT12" s="75"/>
      <c r="BU12" s="75"/>
      <c r="BV12" s="75"/>
      <c r="BW12" s="75"/>
      <c r="BX12" s="75"/>
      <c r="BY12" s="75"/>
      <c r="BZ12" s="75"/>
      <c r="CA12" s="75"/>
      <c r="CB12" s="75"/>
      <c r="CC12" s="75"/>
      <c r="CD12" s="75"/>
      <c r="CE12" s="75"/>
      <c r="CF12" s="75"/>
      <c r="CG12" s="75"/>
      <c r="CH12" s="75"/>
      <c r="CI12" s="75"/>
      <c r="CJ12" s="75"/>
      <c r="CK12" s="75"/>
      <c r="CL12" s="75"/>
      <c r="CM12" s="75"/>
      <c r="CN12" s="75"/>
      <c r="CO12" s="75"/>
      <c r="CP12" s="75"/>
      <c r="CQ12" s="75"/>
      <c r="CR12" s="75"/>
      <c r="CS12" s="75"/>
      <c r="CT12" s="75"/>
      <c r="CU12" s="75"/>
      <c r="CV12" s="75"/>
      <c r="CW12" s="75"/>
      <c r="CX12" s="75"/>
      <c r="CY12" s="75"/>
      <c r="CZ12" s="75"/>
      <c r="DA12" s="75"/>
      <c r="DB12" s="75"/>
      <c r="DC12" s="75"/>
      <c r="DD12" s="75"/>
      <c r="DE12" s="75"/>
      <c r="DF12" s="75"/>
      <c r="DG12" s="75"/>
      <c r="DH12" s="75"/>
      <c r="DI12" s="75"/>
      <c r="DJ12" s="75"/>
      <c r="DK12" s="75"/>
      <c r="DL12" s="75"/>
      <c r="DM12" s="75"/>
      <c r="DN12" s="75"/>
      <c r="DO12" s="75"/>
      <c r="DP12" s="75"/>
      <c r="DQ12" s="75"/>
      <c r="DR12" s="75"/>
      <c r="DS12" s="75"/>
      <c r="DT12" s="75"/>
      <c r="DU12" s="75"/>
      <c r="DV12" s="75"/>
      <c r="DW12" s="75"/>
      <c r="DX12" s="75"/>
      <c r="DY12" s="75"/>
      <c r="DZ12" s="75"/>
      <c r="EA12" s="75"/>
      <c r="EB12" s="75"/>
      <c r="EC12" s="75"/>
      <c r="ED12" s="75"/>
      <c r="EE12" s="75"/>
      <c r="EF12" s="75"/>
      <c r="EG12" s="75"/>
      <c r="EH12" s="75"/>
      <c r="EI12" s="75"/>
      <c r="EJ12" s="75"/>
      <c r="EK12" s="75"/>
      <c r="EL12" s="75"/>
      <c r="EM12" s="75"/>
      <c r="EN12" s="75"/>
      <c r="EO12" s="75"/>
      <c r="EP12" s="75"/>
      <c r="EQ12" s="75"/>
      <c r="ER12" s="75"/>
      <c r="ES12" s="75"/>
      <c r="ET12" s="75"/>
      <c r="EU12" s="75"/>
      <c r="EV12" s="75"/>
      <c r="EW12" s="75"/>
      <c r="EX12" s="75"/>
      <c r="EY12" s="75"/>
      <c r="EZ12" s="75"/>
      <c r="FA12" s="75"/>
      <c r="FB12" s="75"/>
      <c r="FC12" s="75"/>
      <c r="FD12" s="75"/>
      <c r="FE12" s="75"/>
      <c r="FF12" s="75"/>
      <c r="FG12" s="75"/>
      <c r="FH12" s="75"/>
      <c r="FI12" s="75"/>
      <c r="FJ12" s="75"/>
      <c r="FK12" s="75"/>
      <c r="FL12" s="75"/>
      <c r="FM12" s="75"/>
      <c r="FN12" s="75"/>
      <c r="FO12" s="75"/>
      <c r="FP12" s="75"/>
      <c r="FQ12" s="75"/>
      <c r="FR12" s="75"/>
      <c r="FS12" s="75"/>
      <c r="FT12" s="75"/>
      <c r="FU12" s="75"/>
      <c r="FV12" s="75"/>
      <c r="FW12" s="75"/>
      <c r="FX12" s="75"/>
      <c r="FY12" s="75"/>
      <c r="FZ12" s="75"/>
      <c r="GA12" s="75"/>
      <c r="GB12" s="75"/>
      <c r="GC12" s="75"/>
      <c r="GD12" s="75"/>
      <c r="GE12" s="75"/>
      <c r="GF12" s="75"/>
      <c r="GG12" s="75"/>
      <c r="GH12" s="75"/>
      <c r="GI12" s="75"/>
      <c r="GJ12" s="75"/>
      <c r="GK12" s="75"/>
      <c r="GL12" s="75"/>
      <c r="GM12" s="75"/>
      <c r="GN12" s="75"/>
      <c r="GO12" s="75"/>
      <c r="GP12" s="75"/>
      <c r="GQ12" s="75"/>
      <c r="GR12" s="75"/>
      <c r="GS12" s="75"/>
      <c r="GT12" s="75"/>
      <c r="GU12" s="75"/>
      <c r="GV12" s="75"/>
      <c r="GW12" s="75"/>
      <c r="GX12" s="75"/>
      <c r="GY12" s="75"/>
      <c r="GZ12" s="75"/>
      <c r="HA12" s="75"/>
      <c r="HB12" s="75"/>
      <c r="HC12" s="75"/>
      <c r="HD12" s="75"/>
      <c r="HE12" s="75"/>
      <c r="HF12" s="75"/>
      <c r="HG12" s="75"/>
      <c r="HH12" s="75"/>
      <c r="HI12" s="75"/>
      <c r="HJ12" s="75"/>
      <c r="HK12" s="75"/>
      <c r="HL12" s="75"/>
      <c r="HM12" s="75"/>
      <c r="HN12" s="75"/>
      <c r="HO12" s="75"/>
      <c r="HP12" s="75"/>
      <c r="HQ12" s="75"/>
      <c r="HR12" s="75"/>
      <c r="HS12" s="75"/>
      <c r="HT12" s="75"/>
      <c r="HU12" s="75"/>
      <c r="HV12" s="75"/>
      <c r="HW12" s="75"/>
      <c r="HX12" s="75"/>
      <c r="HY12" s="75"/>
      <c r="HZ12" s="75"/>
      <c r="IA12" s="75"/>
      <c r="IB12" s="75"/>
      <c r="IC12" s="75"/>
      <c r="ID12" s="75"/>
      <c r="IE12" s="75"/>
      <c r="IF12" s="75"/>
      <c r="IG12" s="75"/>
      <c r="IH12" s="75"/>
      <c r="II12" s="75"/>
      <c r="IJ12" s="75"/>
      <c r="IK12" s="75"/>
      <c r="IL12" s="75"/>
      <c r="IM12" s="75"/>
      <c r="IN12" s="75"/>
      <c r="IO12" s="75"/>
      <c r="IP12" s="75"/>
      <c r="IQ12" s="75"/>
      <c r="IR12" s="75"/>
      <c r="IS12" s="75"/>
      <c r="IT12" s="75"/>
      <c r="IU12" s="75"/>
      <c r="IV12" s="75"/>
      <c r="IW12" s="75"/>
      <c r="IX12" s="75"/>
      <c r="IY12" s="75"/>
      <c r="IZ12" s="75"/>
      <c r="JA12" s="75"/>
      <c r="JB12" s="75"/>
      <c r="JC12" s="75"/>
      <c r="JD12" s="75"/>
      <c r="JE12" s="75"/>
      <c r="JF12" s="75"/>
      <c r="JG12" s="75"/>
      <c r="JH12" s="75"/>
      <c r="JI12" s="75"/>
      <c r="JJ12" s="75"/>
      <c r="JK12" s="75"/>
      <c r="JL12" s="75"/>
      <c r="JM12" s="75"/>
      <c r="JN12" s="75"/>
      <c r="JO12" s="75"/>
      <c r="JP12" s="75"/>
      <c r="JQ12" s="75"/>
      <c r="JR12" s="75"/>
      <c r="JS12" s="75"/>
      <c r="JT12" s="75"/>
      <c r="JU12" s="75"/>
      <c r="JV12" s="75"/>
      <c r="JW12" s="75"/>
      <c r="JX12" s="75"/>
      <c r="JY12" s="75"/>
      <c r="JZ12" s="75"/>
      <c r="KA12" s="75"/>
      <c r="KB12" s="75"/>
      <c r="KC12" s="75"/>
      <c r="KD12" s="75"/>
      <c r="KE12" s="75"/>
      <c r="KF12" s="75"/>
      <c r="KG12" s="75"/>
      <c r="KH12" s="75"/>
      <c r="KI12" s="75"/>
      <c r="KJ12" s="75"/>
      <c r="KK12" s="75"/>
    </row>
    <row r="13" spans="1:297" ht="30" customHeight="1" x14ac:dyDescent="0.25">
      <c r="A13" s="33" t="s">
        <v>73</v>
      </c>
      <c r="B13" s="17" t="s">
        <v>74</v>
      </c>
      <c r="C13" s="4">
        <f>_xlfn.XLOOKUP(B13,Lookups!G:G,Lookups!H:H,"",0,1)</f>
        <v>3</v>
      </c>
      <c r="D13" s="4" t="str">
        <f>_xlfn.XLOOKUP(C13,[1]Sheet2!$A$2:$A$11,[1]Sheet2!$B$2:$B$11,"Not found")</f>
        <v>within 30 days</v>
      </c>
      <c r="E13" s="4"/>
      <c r="F13" s="13" t="str">
        <f>_xlfn.XLOOKUP(B13,'Holiday Inn Express'!B:B,'Holiday Inn Express'!F:F,"",0,1)</f>
        <v>Self-paced Online Learning (20 Minutes).</v>
      </c>
      <c r="G13" s="13" t="s">
        <v>170</v>
      </c>
      <c r="H13" s="13" t="s">
        <v>170</v>
      </c>
      <c r="I13" s="13" t="s">
        <v>170</v>
      </c>
      <c r="J13" s="13" t="s">
        <v>170</v>
      </c>
      <c r="K13" s="13" t="s">
        <v>170</v>
      </c>
      <c r="L13" s="13" t="s">
        <v>170</v>
      </c>
      <c r="M13" s="13" t="s">
        <v>170</v>
      </c>
      <c r="N13" s="13" t="s">
        <v>170</v>
      </c>
      <c r="O13" s="13" t="s">
        <v>170</v>
      </c>
      <c r="P13" s="13" t="s">
        <v>170</v>
      </c>
      <c r="Q13" s="13" t="s">
        <v>170</v>
      </c>
      <c r="R13" s="13" t="s">
        <v>170</v>
      </c>
      <c r="S13" s="13" t="s">
        <v>170</v>
      </c>
      <c r="T13" s="79"/>
      <c r="U13" s="79"/>
      <c r="V13" s="79"/>
      <c r="W13" s="79"/>
      <c r="X13" s="79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5"/>
      <c r="BK13" s="75"/>
      <c r="BL13" s="75"/>
      <c r="BM13" s="75"/>
      <c r="BN13" s="75"/>
      <c r="BO13" s="75"/>
      <c r="BP13" s="75"/>
      <c r="BQ13" s="75"/>
      <c r="BR13" s="75"/>
      <c r="BS13" s="75"/>
      <c r="BT13" s="75"/>
      <c r="BU13" s="75"/>
      <c r="BV13" s="75"/>
      <c r="BW13" s="75"/>
      <c r="BX13" s="75"/>
      <c r="BY13" s="75"/>
      <c r="BZ13" s="75"/>
      <c r="CA13" s="75"/>
      <c r="CB13" s="75"/>
      <c r="CC13" s="75"/>
      <c r="CD13" s="75"/>
      <c r="CE13" s="75"/>
      <c r="CF13" s="75"/>
      <c r="CG13" s="75"/>
      <c r="CH13" s="75"/>
      <c r="CI13" s="75"/>
      <c r="CJ13" s="75"/>
      <c r="CK13" s="75"/>
      <c r="CL13" s="75"/>
      <c r="CM13" s="75"/>
      <c r="CN13" s="75"/>
      <c r="CO13" s="75"/>
      <c r="CP13" s="75"/>
      <c r="CQ13" s="75"/>
      <c r="CR13" s="75"/>
      <c r="CS13" s="75"/>
      <c r="CT13" s="75"/>
      <c r="CU13" s="75"/>
      <c r="CV13" s="75"/>
      <c r="CW13" s="75"/>
      <c r="CX13" s="75"/>
      <c r="CY13" s="75"/>
      <c r="CZ13" s="75"/>
      <c r="DA13" s="75"/>
      <c r="DB13" s="75"/>
      <c r="DC13" s="75"/>
      <c r="DD13" s="75"/>
      <c r="DE13" s="75"/>
      <c r="DF13" s="75"/>
      <c r="DG13" s="75"/>
      <c r="DH13" s="75"/>
      <c r="DI13" s="75"/>
      <c r="DJ13" s="75"/>
      <c r="DK13" s="75"/>
      <c r="DL13" s="75"/>
      <c r="DM13" s="75"/>
      <c r="DN13" s="75"/>
      <c r="DO13" s="75"/>
      <c r="DP13" s="75"/>
      <c r="DQ13" s="75"/>
      <c r="DR13" s="75"/>
      <c r="DS13" s="75"/>
      <c r="DT13" s="75"/>
      <c r="DU13" s="75"/>
      <c r="DV13" s="75"/>
      <c r="DW13" s="75"/>
      <c r="DX13" s="75"/>
      <c r="DY13" s="75"/>
      <c r="DZ13" s="75"/>
      <c r="EA13" s="75"/>
      <c r="EB13" s="75"/>
      <c r="EC13" s="75"/>
      <c r="ED13" s="75"/>
      <c r="EE13" s="75"/>
      <c r="EF13" s="75"/>
      <c r="EG13" s="75"/>
      <c r="EH13" s="75"/>
      <c r="EI13" s="75"/>
      <c r="EJ13" s="75"/>
      <c r="EK13" s="75"/>
      <c r="EL13" s="75"/>
      <c r="EM13" s="75"/>
      <c r="EN13" s="75"/>
      <c r="EO13" s="75"/>
      <c r="EP13" s="75"/>
      <c r="EQ13" s="75"/>
      <c r="ER13" s="75"/>
      <c r="ES13" s="75"/>
      <c r="ET13" s="75"/>
      <c r="EU13" s="75"/>
      <c r="EV13" s="75"/>
      <c r="EW13" s="75"/>
      <c r="EX13" s="75"/>
      <c r="EY13" s="75"/>
      <c r="EZ13" s="75"/>
      <c r="FA13" s="75"/>
      <c r="FB13" s="75"/>
      <c r="FC13" s="75"/>
      <c r="FD13" s="75"/>
      <c r="FE13" s="75"/>
      <c r="FF13" s="75"/>
      <c r="FG13" s="75"/>
      <c r="FH13" s="75"/>
      <c r="FI13" s="75"/>
      <c r="FJ13" s="75"/>
      <c r="FK13" s="75"/>
      <c r="FL13" s="75"/>
      <c r="FM13" s="75"/>
      <c r="FN13" s="75"/>
      <c r="FO13" s="75"/>
      <c r="FP13" s="75"/>
      <c r="FQ13" s="75"/>
      <c r="FR13" s="75"/>
      <c r="FS13" s="75"/>
      <c r="FT13" s="75"/>
      <c r="FU13" s="75"/>
      <c r="FV13" s="75"/>
      <c r="FW13" s="75"/>
      <c r="FX13" s="75"/>
      <c r="FY13" s="75"/>
      <c r="FZ13" s="75"/>
      <c r="GA13" s="75"/>
      <c r="GB13" s="75"/>
      <c r="GC13" s="75"/>
      <c r="GD13" s="75"/>
      <c r="GE13" s="75"/>
      <c r="GF13" s="75"/>
      <c r="GG13" s="75"/>
      <c r="GH13" s="75"/>
      <c r="GI13" s="75"/>
      <c r="GJ13" s="75"/>
      <c r="GK13" s="75"/>
      <c r="GL13" s="75"/>
      <c r="GM13" s="75"/>
      <c r="GN13" s="75"/>
      <c r="GO13" s="75"/>
      <c r="GP13" s="75"/>
      <c r="GQ13" s="75"/>
      <c r="GR13" s="75"/>
      <c r="GS13" s="75"/>
      <c r="GT13" s="75"/>
      <c r="GU13" s="75"/>
      <c r="GV13" s="75"/>
      <c r="GW13" s="75"/>
      <c r="GX13" s="75"/>
      <c r="GY13" s="75"/>
      <c r="GZ13" s="75"/>
      <c r="HA13" s="75"/>
      <c r="HB13" s="75"/>
      <c r="HC13" s="75"/>
      <c r="HD13" s="75"/>
      <c r="HE13" s="75"/>
      <c r="HF13" s="75"/>
      <c r="HG13" s="75"/>
      <c r="HH13" s="75"/>
      <c r="HI13" s="75"/>
      <c r="HJ13" s="75"/>
      <c r="HK13" s="75"/>
      <c r="HL13" s="75"/>
      <c r="HM13" s="75"/>
      <c r="HN13" s="75"/>
      <c r="HO13" s="75"/>
      <c r="HP13" s="75"/>
      <c r="HQ13" s="75"/>
      <c r="HR13" s="75"/>
      <c r="HS13" s="75"/>
      <c r="HT13" s="75"/>
      <c r="HU13" s="75"/>
      <c r="HV13" s="75"/>
      <c r="HW13" s="75"/>
      <c r="HX13" s="75"/>
      <c r="HY13" s="75"/>
      <c r="HZ13" s="75"/>
      <c r="IA13" s="75"/>
      <c r="IB13" s="75"/>
      <c r="IC13" s="75"/>
      <c r="ID13" s="75"/>
      <c r="IE13" s="75"/>
      <c r="IF13" s="75"/>
      <c r="IG13" s="75"/>
      <c r="IH13" s="75"/>
      <c r="II13" s="75"/>
      <c r="IJ13" s="75"/>
      <c r="IK13" s="75"/>
      <c r="IL13" s="75"/>
      <c r="IM13" s="75"/>
      <c r="IN13" s="75"/>
      <c r="IO13" s="75"/>
      <c r="IP13" s="75"/>
      <c r="IQ13" s="75"/>
      <c r="IR13" s="75"/>
      <c r="IS13" s="75"/>
      <c r="IT13" s="75"/>
      <c r="IU13" s="75"/>
      <c r="IV13" s="75"/>
      <c r="IW13" s="75"/>
      <c r="IX13" s="75"/>
      <c r="IY13" s="75"/>
      <c r="IZ13" s="75"/>
      <c r="JA13" s="75"/>
      <c r="JB13" s="75"/>
      <c r="JC13" s="75"/>
      <c r="JD13" s="75"/>
      <c r="JE13" s="75"/>
      <c r="JF13" s="75"/>
      <c r="JG13" s="75"/>
      <c r="JH13" s="75"/>
      <c r="JI13" s="75"/>
      <c r="JJ13" s="75"/>
      <c r="JK13" s="75"/>
      <c r="JL13" s="75"/>
      <c r="JM13" s="75"/>
      <c r="JN13" s="75"/>
      <c r="JO13" s="75"/>
      <c r="JP13" s="75"/>
      <c r="JQ13" s="75"/>
      <c r="JR13" s="75"/>
      <c r="JS13" s="75"/>
      <c r="JT13" s="75"/>
      <c r="JU13" s="75"/>
      <c r="JV13" s="75"/>
      <c r="JW13" s="75"/>
      <c r="JX13" s="75"/>
      <c r="JY13" s="75"/>
      <c r="JZ13" s="75"/>
      <c r="KA13" s="75"/>
      <c r="KB13" s="75"/>
      <c r="KC13" s="75"/>
      <c r="KD13" s="75"/>
      <c r="KE13" s="75"/>
      <c r="KF13" s="75"/>
      <c r="KG13" s="75"/>
      <c r="KH13" s="75"/>
      <c r="KI13" s="75"/>
      <c r="KJ13" s="75"/>
      <c r="KK13" s="75"/>
    </row>
    <row r="14" spans="1:297" ht="30" customHeight="1" x14ac:dyDescent="0.25">
      <c r="A14" s="33" t="s">
        <v>75</v>
      </c>
      <c r="B14" s="17" t="s">
        <v>76</v>
      </c>
      <c r="C14" s="4">
        <f>_xlfn.XLOOKUP(B14,Lookups!G:G,Lookups!H:H,"",0,1)</f>
        <v>3</v>
      </c>
      <c r="D14" s="4" t="str">
        <f>_xlfn.XLOOKUP(C14,[1]Sheet2!$A$2:$A$11,[1]Sheet2!$B$2:$B$11,"Not found")</f>
        <v>within 30 days</v>
      </c>
      <c r="E14" s="4"/>
      <c r="F14" s="13" t="str">
        <f>_xlfn.XLOOKUP(B14,'Holiday Inn Express'!B:B,'Holiday Inn Express'!F:F,"",0,1)</f>
        <v>Self-paced Online Learning (20 Minutes).</v>
      </c>
      <c r="G14" s="13" t="s">
        <v>170</v>
      </c>
      <c r="H14" s="13" t="s">
        <v>170</v>
      </c>
      <c r="I14" s="13" t="s">
        <v>170</v>
      </c>
      <c r="J14" s="13" t="s">
        <v>170</v>
      </c>
      <c r="K14" s="13" t="s">
        <v>170</v>
      </c>
      <c r="L14" s="13" t="s">
        <v>170</v>
      </c>
      <c r="M14" s="13" t="s">
        <v>170</v>
      </c>
      <c r="N14" s="13" t="s">
        <v>169</v>
      </c>
      <c r="O14" s="13" t="s">
        <v>169</v>
      </c>
      <c r="P14" s="13" t="s">
        <v>169</v>
      </c>
      <c r="Q14" s="13" t="s">
        <v>169</v>
      </c>
      <c r="R14" s="13" t="s">
        <v>170</v>
      </c>
      <c r="S14" s="13" t="s">
        <v>169</v>
      </c>
      <c r="T14" s="79"/>
      <c r="U14" s="79"/>
      <c r="V14" s="79"/>
      <c r="W14" s="79"/>
      <c r="X14" s="79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  <c r="BM14" s="75"/>
      <c r="BN14" s="75"/>
      <c r="BO14" s="75"/>
      <c r="BP14" s="75"/>
      <c r="BQ14" s="75"/>
      <c r="BR14" s="75"/>
      <c r="BS14" s="75"/>
      <c r="BT14" s="75"/>
      <c r="BU14" s="75"/>
      <c r="BV14" s="75"/>
      <c r="BW14" s="75"/>
      <c r="BX14" s="75"/>
      <c r="BY14" s="75"/>
      <c r="BZ14" s="75"/>
      <c r="CA14" s="75"/>
      <c r="CB14" s="75"/>
      <c r="CC14" s="75"/>
      <c r="CD14" s="75"/>
      <c r="CE14" s="75"/>
      <c r="CF14" s="75"/>
      <c r="CG14" s="75"/>
      <c r="CH14" s="75"/>
      <c r="CI14" s="75"/>
      <c r="CJ14" s="75"/>
      <c r="CK14" s="75"/>
      <c r="CL14" s="75"/>
      <c r="CM14" s="75"/>
      <c r="CN14" s="75"/>
      <c r="CO14" s="75"/>
      <c r="CP14" s="75"/>
      <c r="CQ14" s="75"/>
      <c r="CR14" s="75"/>
      <c r="CS14" s="75"/>
      <c r="CT14" s="75"/>
      <c r="CU14" s="75"/>
      <c r="CV14" s="75"/>
      <c r="CW14" s="75"/>
      <c r="CX14" s="75"/>
      <c r="CY14" s="75"/>
      <c r="CZ14" s="75"/>
      <c r="DA14" s="75"/>
      <c r="DB14" s="75"/>
      <c r="DC14" s="75"/>
      <c r="DD14" s="75"/>
      <c r="DE14" s="75"/>
      <c r="DF14" s="75"/>
      <c r="DG14" s="75"/>
      <c r="DH14" s="75"/>
      <c r="DI14" s="75"/>
      <c r="DJ14" s="75"/>
      <c r="DK14" s="75"/>
      <c r="DL14" s="75"/>
      <c r="DM14" s="75"/>
      <c r="DN14" s="75"/>
      <c r="DO14" s="75"/>
      <c r="DP14" s="75"/>
      <c r="DQ14" s="75"/>
      <c r="DR14" s="75"/>
      <c r="DS14" s="75"/>
      <c r="DT14" s="75"/>
      <c r="DU14" s="75"/>
      <c r="DV14" s="75"/>
      <c r="DW14" s="75"/>
      <c r="DX14" s="75"/>
      <c r="DY14" s="75"/>
      <c r="DZ14" s="75"/>
      <c r="EA14" s="75"/>
      <c r="EB14" s="75"/>
      <c r="EC14" s="75"/>
      <c r="ED14" s="75"/>
      <c r="EE14" s="75"/>
      <c r="EF14" s="75"/>
      <c r="EG14" s="75"/>
      <c r="EH14" s="75"/>
      <c r="EI14" s="75"/>
      <c r="EJ14" s="75"/>
      <c r="EK14" s="75"/>
      <c r="EL14" s="75"/>
      <c r="EM14" s="75"/>
      <c r="EN14" s="75"/>
      <c r="EO14" s="75"/>
      <c r="EP14" s="75"/>
      <c r="EQ14" s="75"/>
      <c r="ER14" s="75"/>
      <c r="ES14" s="75"/>
      <c r="ET14" s="75"/>
      <c r="EU14" s="75"/>
      <c r="EV14" s="75"/>
      <c r="EW14" s="75"/>
      <c r="EX14" s="75"/>
      <c r="EY14" s="75"/>
      <c r="EZ14" s="75"/>
      <c r="FA14" s="75"/>
      <c r="FB14" s="75"/>
      <c r="FC14" s="75"/>
      <c r="FD14" s="75"/>
      <c r="FE14" s="75"/>
      <c r="FF14" s="75"/>
      <c r="FG14" s="75"/>
      <c r="FH14" s="75"/>
      <c r="FI14" s="75"/>
      <c r="FJ14" s="75"/>
      <c r="FK14" s="75"/>
      <c r="FL14" s="75"/>
      <c r="FM14" s="75"/>
      <c r="FN14" s="75"/>
      <c r="FO14" s="75"/>
      <c r="FP14" s="75"/>
      <c r="FQ14" s="75"/>
      <c r="FR14" s="75"/>
      <c r="FS14" s="75"/>
      <c r="FT14" s="75"/>
      <c r="FU14" s="75"/>
      <c r="FV14" s="75"/>
      <c r="FW14" s="75"/>
      <c r="FX14" s="75"/>
      <c r="FY14" s="75"/>
      <c r="FZ14" s="75"/>
      <c r="GA14" s="75"/>
      <c r="GB14" s="75"/>
      <c r="GC14" s="75"/>
      <c r="GD14" s="75"/>
      <c r="GE14" s="75"/>
      <c r="GF14" s="75"/>
      <c r="GG14" s="75"/>
      <c r="GH14" s="75"/>
      <c r="GI14" s="75"/>
      <c r="GJ14" s="75"/>
      <c r="GK14" s="75"/>
      <c r="GL14" s="75"/>
      <c r="GM14" s="75"/>
      <c r="GN14" s="75"/>
      <c r="GO14" s="75"/>
      <c r="GP14" s="75"/>
      <c r="GQ14" s="75"/>
      <c r="GR14" s="75"/>
      <c r="GS14" s="75"/>
      <c r="GT14" s="75"/>
      <c r="GU14" s="75"/>
      <c r="GV14" s="75"/>
      <c r="GW14" s="75"/>
      <c r="GX14" s="75"/>
      <c r="GY14" s="75"/>
      <c r="GZ14" s="75"/>
      <c r="HA14" s="75"/>
      <c r="HB14" s="75"/>
      <c r="HC14" s="75"/>
      <c r="HD14" s="75"/>
      <c r="HE14" s="75"/>
      <c r="HF14" s="75"/>
      <c r="HG14" s="75"/>
      <c r="HH14" s="75"/>
      <c r="HI14" s="75"/>
      <c r="HJ14" s="75"/>
      <c r="HK14" s="75"/>
      <c r="HL14" s="75"/>
      <c r="HM14" s="75"/>
      <c r="HN14" s="75"/>
      <c r="HO14" s="75"/>
      <c r="HP14" s="75"/>
      <c r="HQ14" s="75"/>
      <c r="HR14" s="75"/>
      <c r="HS14" s="75"/>
      <c r="HT14" s="75"/>
      <c r="HU14" s="75"/>
      <c r="HV14" s="75"/>
      <c r="HW14" s="75"/>
      <c r="HX14" s="75"/>
      <c r="HY14" s="75"/>
      <c r="HZ14" s="75"/>
      <c r="IA14" s="75"/>
      <c r="IB14" s="75"/>
      <c r="IC14" s="75"/>
      <c r="ID14" s="75"/>
      <c r="IE14" s="75"/>
      <c r="IF14" s="75"/>
      <c r="IG14" s="75"/>
      <c r="IH14" s="75"/>
      <c r="II14" s="75"/>
      <c r="IJ14" s="75"/>
      <c r="IK14" s="75"/>
      <c r="IL14" s="75"/>
      <c r="IM14" s="75"/>
      <c r="IN14" s="75"/>
      <c r="IO14" s="75"/>
      <c r="IP14" s="75"/>
      <c r="IQ14" s="75"/>
      <c r="IR14" s="75"/>
      <c r="IS14" s="75"/>
      <c r="IT14" s="75"/>
      <c r="IU14" s="75"/>
      <c r="IV14" s="75"/>
      <c r="IW14" s="75"/>
      <c r="IX14" s="75"/>
      <c r="IY14" s="75"/>
      <c r="IZ14" s="75"/>
      <c r="JA14" s="75"/>
      <c r="JB14" s="75"/>
      <c r="JC14" s="75"/>
      <c r="JD14" s="75"/>
      <c r="JE14" s="75"/>
      <c r="JF14" s="75"/>
      <c r="JG14" s="75"/>
      <c r="JH14" s="75"/>
      <c r="JI14" s="75"/>
      <c r="JJ14" s="75"/>
      <c r="JK14" s="75"/>
      <c r="JL14" s="75"/>
      <c r="JM14" s="75"/>
      <c r="JN14" s="75"/>
      <c r="JO14" s="75"/>
      <c r="JP14" s="75"/>
      <c r="JQ14" s="75"/>
      <c r="JR14" s="75"/>
      <c r="JS14" s="75"/>
      <c r="JT14" s="75"/>
      <c r="JU14" s="75"/>
      <c r="JV14" s="75"/>
      <c r="JW14" s="75"/>
      <c r="JX14" s="75"/>
      <c r="JY14" s="75"/>
      <c r="JZ14" s="75"/>
      <c r="KA14" s="75"/>
      <c r="KB14" s="75"/>
      <c r="KC14" s="75"/>
      <c r="KD14" s="75"/>
      <c r="KE14" s="75"/>
      <c r="KF14" s="75"/>
      <c r="KG14" s="75"/>
      <c r="KH14" s="75"/>
      <c r="KI14" s="75"/>
      <c r="KJ14" s="75"/>
      <c r="KK14" s="75"/>
    </row>
    <row r="15" spans="1:297" ht="30" customHeight="1" x14ac:dyDescent="0.25">
      <c r="A15" s="33" t="s">
        <v>77</v>
      </c>
      <c r="B15" s="17" t="s">
        <v>78</v>
      </c>
      <c r="C15" s="4">
        <f>_xlfn.XLOOKUP(B15,Lookups!G:G,Lookups!H:H,"",0,1)</f>
        <v>3</v>
      </c>
      <c r="D15" s="4" t="str">
        <f>_xlfn.XLOOKUP(C15,[1]Sheet2!$A$2:$A$11,[1]Sheet2!$B$2:$B$11,"Not found")</f>
        <v>within 30 days</v>
      </c>
      <c r="E15" s="4"/>
      <c r="F15" s="13" t="str">
        <f>_xlfn.XLOOKUP(B15,'Holiday Inn Express'!B:B,'Holiday Inn Express'!F:F,"",0,1)</f>
        <v>Self-paced Online Learning (20 Minutes).</v>
      </c>
      <c r="G15" s="13" t="s">
        <v>170</v>
      </c>
      <c r="H15" s="13" t="s">
        <v>170</v>
      </c>
      <c r="I15" s="13" t="s">
        <v>170</v>
      </c>
      <c r="J15" s="13" t="s">
        <v>170</v>
      </c>
      <c r="K15" s="13" t="s">
        <v>170</v>
      </c>
      <c r="L15" s="13" t="s">
        <v>170</v>
      </c>
      <c r="M15" s="13" t="s">
        <v>170</v>
      </c>
      <c r="N15" s="13" t="s">
        <v>170</v>
      </c>
      <c r="O15" s="13" t="s">
        <v>170</v>
      </c>
      <c r="P15" s="13" t="s">
        <v>170</v>
      </c>
      <c r="Q15" s="13" t="s">
        <v>170</v>
      </c>
      <c r="R15" s="13" t="s">
        <v>170</v>
      </c>
      <c r="S15" s="13" t="s">
        <v>170</v>
      </c>
      <c r="T15" s="79"/>
      <c r="U15" s="79"/>
      <c r="V15" s="79"/>
      <c r="W15" s="79"/>
      <c r="X15" s="79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5"/>
      <c r="BM15" s="75"/>
      <c r="BN15" s="75"/>
      <c r="BO15" s="75"/>
      <c r="BP15" s="75"/>
      <c r="BQ15" s="75"/>
      <c r="BR15" s="75"/>
      <c r="BS15" s="75"/>
      <c r="BT15" s="75"/>
      <c r="BU15" s="75"/>
      <c r="BV15" s="75"/>
      <c r="BW15" s="75"/>
      <c r="BX15" s="75"/>
      <c r="BY15" s="75"/>
      <c r="BZ15" s="75"/>
      <c r="CA15" s="75"/>
      <c r="CB15" s="75"/>
      <c r="CC15" s="75"/>
      <c r="CD15" s="75"/>
      <c r="CE15" s="75"/>
      <c r="CF15" s="75"/>
      <c r="CG15" s="75"/>
      <c r="CH15" s="75"/>
      <c r="CI15" s="75"/>
      <c r="CJ15" s="75"/>
      <c r="CK15" s="75"/>
      <c r="CL15" s="75"/>
      <c r="CM15" s="75"/>
      <c r="CN15" s="75"/>
      <c r="CO15" s="75"/>
      <c r="CP15" s="75"/>
      <c r="CQ15" s="75"/>
      <c r="CR15" s="75"/>
      <c r="CS15" s="75"/>
      <c r="CT15" s="75"/>
      <c r="CU15" s="75"/>
      <c r="CV15" s="75"/>
      <c r="CW15" s="75"/>
      <c r="CX15" s="75"/>
      <c r="CY15" s="75"/>
      <c r="CZ15" s="75"/>
      <c r="DA15" s="75"/>
      <c r="DB15" s="75"/>
      <c r="DC15" s="75"/>
      <c r="DD15" s="75"/>
      <c r="DE15" s="75"/>
      <c r="DF15" s="75"/>
      <c r="DG15" s="75"/>
      <c r="DH15" s="75"/>
      <c r="DI15" s="75"/>
      <c r="DJ15" s="75"/>
      <c r="DK15" s="75"/>
      <c r="DL15" s="75"/>
      <c r="DM15" s="75"/>
      <c r="DN15" s="75"/>
      <c r="DO15" s="75"/>
      <c r="DP15" s="75"/>
      <c r="DQ15" s="75"/>
      <c r="DR15" s="75"/>
      <c r="DS15" s="75"/>
      <c r="DT15" s="75"/>
      <c r="DU15" s="75"/>
      <c r="DV15" s="75"/>
      <c r="DW15" s="75"/>
      <c r="DX15" s="75"/>
      <c r="DY15" s="75"/>
      <c r="DZ15" s="75"/>
      <c r="EA15" s="75"/>
      <c r="EB15" s="75"/>
      <c r="EC15" s="75"/>
      <c r="ED15" s="75"/>
      <c r="EE15" s="75"/>
      <c r="EF15" s="75"/>
      <c r="EG15" s="75"/>
      <c r="EH15" s="75"/>
      <c r="EI15" s="75"/>
      <c r="EJ15" s="75"/>
      <c r="EK15" s="75"/>
      <c r="EL15" s="75"/>
      <c r="EM15" s="75"/>
      <c r="EN15" s="75"/>
      <c r="EO15" s="75"/>
      <c r="EP15" s="75"/>
      <c r="EQ15" s="75"/>
      <c r="ER15" s="75"/>
      <c r="ES15" s="75"/>
      <c r="ET15" s="75"/>
      <c r="EU15" s="75"/>
      <c r="EV15" s="75"/>
      <c r="EW15" s="75"/>
      <c r="EX15" s="75"/>
      <c r="EY15" s="75"/>
      <c r="EZ15" s="75"/>
      <c r="FA15" s="75"/>
      <c r="FB15" s="75"/>
      <c r="FC15" s="75"/>
      <c r="FD15" s="75"/>
      <c r="FE15" s="75"/>
      <c r="FF15" s="75"/>
      <c r="FG15" s="75"/>
      <c r="FH15" s="75"/>
      <c r="FI15" s="75"/>
      <c r="FJ15" s="75"/>
      <c r="FK15" s="75"/>
      <c r="FL15" s="75"/>
      <c r="FM15" s="75"/>
      <c r="FN15" s="75"/>
      <c r="FO15" s="75"/>
      <c r="FP15" s="75"/>
      <c r="FQ15" s="75"/>
      <c r="FR15" s="75"/>
      <c r="FS15" s="75"/>
      <c r="FT15" s="75"/>
      <c r="FU15" s="75"/>
      <c r="FV15" s="75"/>
      <c r="FW15" s="75"/>
      <c r="FX15" s="75"/>
      <c r="FY15" s="75"/>
      <c r="FZ15" s="75"/>
      <c r="GA15" s="75"/>
      <c r="GB15" s="75"/>
      <c r="GC15" s="75"/>
      <c r="GD15" s="75"/>
      <c r="GE15" s="75"/>
      <c r="GF15" s="75"/>
      <c r="GG15" s="75"/>
      <c r="GH15" s="75"/>
      <c r="GI15" s="75"/>
      <c r="GJ15" s="75"/>
      <c r="GK15" s="75"/>
      <c r="GL15" s="75"/>
      <c r="GM15" s="75"/>
      <c r="GN15" s="75"/>
      <c r="GO15" s="75"/>
      <c r="GP15" s="75"/>
      <c r="GQ15" s="75"/>
      <c r="GR15" s="75"/>
      <c r="GS15" s="75"/>
      <c r="GT15" s="75"/>
      <c r="GU15" s="75"/>
      <c r="GV15" s="75"/>
      <c r="GW15" s="75"/>
      <c r="GX15" s="75"/>
      <c r="GY15" s="75"/>
      <c r="GZ15" s="75"/>
      <c r="HA15" s="75"/>
      <c r="HB15" s="75"/>
      <c r="HC15" s="75"/>
      <c r="HD15" s="75"/>
      <c r="HE15" s="75"/>
      <c r="HF15" s="75"/>
      <c r="HG15" s="75"/>
      <c r="HH15" s="75"/>
      <c r="HI15" s="75"/>
      <c r="HJ15" s="75"/>
      <c r="HK15" s="75"/>
      <c r="HL15" s="75"/>
      <c r="HM15" s="75"/>
      <c r="HN15" s="75"/>
      <c r="HO15" s="75"/>
      <c r="HP15" s="75"/>
      <c r="HQ15" s="75"/>
      <c r="HR15" s="75"/>
      <c r="HS15" s="75"/>
      <c r="HT15" s="75"/>
      <c r="HU15" s="75"/>
      <c r="HV15" s="75"/>
      <c r="HW15" s="75"/>
      <c r="HX15" s="75"/>
      <c r="HY15" s="75"/>
      <c r="HZ15" s="75"/>
      <c r="IA15" s="75"/>
      <c r="IB15" s="75"/>
      <c r="IC15" s="75"/>
      <c r="ID15" s="75"/>
      <c r="IE15" s="75"/>
      <c r="IF15" s="75"/>
      <c r="IG15" s="75"/>
      <c r="IH15" s="75"/>
      <c r="II15" s="75"/>
      <c r="IJ15" s="75"/>
      <c r="IK15" s="75"/>
      <c r="IL15" s="75"/>
      <c r="IM15" s="75"/>
      <c r="IN15" s="75"/>
      <c r="IO15" s="75"/>
      <c r="IP15" s="75"/>
      <c r="IQ15" s="75"/>
      <c r="IR15" s="75"/>
      <c r="IS15" s="75"/>
      <c r="IT15" s="75"/>
      <c r="IU15" s="75"/>
      <c r="IV15" s="75"/>
      <c r="IW15" s="75"/>
      <c r="IX15" s="75"/>
      <c r="IY15" s="75"/>
      <c r="IZ15" s="75"/>
      <c r="JA15" s="75"/>
      <c r="JB15" s="75"/>
      <c r="JC15" s="75"/>
      <c r="JD15" s="75"/>
      <c r="JE15" s="75"/>
      <c r="JF15" s="75"/>
      <c r="JG15" s="75"/>
      <c r="JH15" s="75"/>
      <c r="JI15" s="75"/>
      <c r="JJ15" s="75"/>
      <c r="JK15" s="75"/>
      <c r="JL15" s="75"/>
      <c r="JM15" s="75"/>
      <c r="JN15" s="75"/>
      <c r="JO15" s="75"/>
      <c r="JP15" s="75"/>
      <c r="JQ15" s="75"/>
      <c r="JR15" s="75"/>
      <c r="JS15" s="75"/>
      <c r="JT15" s="75"/>
      <c r="JU15" s="75"/>
      <c r="JV15" s="75"/>
      <c r="JW15" s="75"/>
      <c r="JX15" s="75"/>
      <c r="JY15" s="75"/>
      <c r="JZ15" s="75"/>
      <c r="KA15" s="75"/>
      <c r="KB15" s="75"/>
      <c r="KC15" s="75"/>
      <c r="KD15" s="75"/>
      <c r="KE15" s="75"/>
      <c r="KF15" s="75"/>
      <c r="KG15" s="75"/>
      <c r="KH15" s="75"/>
      <c r="KI15" s="75"/>
      <c r="KJ15" s="75"/>
      <c r="KK15" s="75"/>
    </row>
    <row r="16" spans="1:297" ht="30" customHeight="1" x14ac:dyDescent="0.25">
      <c r="A16" s="33" t="s">
        <v>79</v>
      </c>
      <c r="B16" s="17" t="s">
        <v>80</v>
      </c>
      <c r="C16" s="4">
        <f>_xlfn.XLOOKUP(B16,Lookups!G:G,Lookups!H:H,"",0,1)</f>
        <v>3</v>
      </c>
      <c r="D16" s="4" t="str">
        <f>_xlfn.XLOOKUP(C16,[1]Sheet2!$A$2:$A$11,[1]Sheet2!$B$2:$B$11,"Not found")</f>
        <v>within 30 days</v>
      </c>
      <c r="E16" s="4"/>
      <c r="F16" s="13" t="str">
        <f>_xlfn.XLOOKUP(B16,'Holiday Inn Express'!B:B,'Holiday Inn Express'!F:F,"",0,1)</f>
        <v>Self-paced Online Learning (15 Minutes).</v>
      </c>
      <c r="G16" s="13" t="s">
        <v>170</v>
      </c>
      <c r="H16" s="13" t="s">
        <v>170</v>
      </c>
      <c r="I16" s="13" t="s">
        <v>170</v>
      </c>
      <c r="J16" s="13" t="s">
        <v>170</v>
      </c>
      <c r="K16" s="13" t="s">
        <v>170</v>
      </c>
      <c r="L16" s="13" t="s">
        <v>170</v>
      </c>
      <c r="M16" s="13" t="s">
        <v>170</v>
      </c>
      <c r="N16" s="13" t="s">
        <v>170</v>
      </c>
      <c r="O16" s="13" t="s">
        <v>170</v>
      </c>
      <c r="P16" s="13" t="s">
        <v>170</v>
      </c>
      <c r="Q16" s="13" t="s">
        <v>170</v>
      </c>
      <c r="R16" s="13" t="s">
        <v>170</v>
      </c>
      <c r="S16" s="13" t="s">
        <v>170</v>
      </c>
      <c r="T16" s="79"/>
      <c r="U16" s="79"/>
      <c r="V16" s="79"/>
      <c r="W16" s="79"/>
      <c r="X16" s="79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5"/>
      <c r="BF16" s="75"/>
      <c r="BG16" s="75"/>
      <c r="BH16" s="75"/>
      <c r="BI16" s="75"/>
      <c r="BJ16" s="75"/>
      <c r="BK16" s="75"/>
      <c r="BL16" s="75"/>
      <c r="BM16" s="75"/>
      <c r="BN16" s="75"/>
      <c r="BO16" s="75"/>
      <c r="BP16" s="75"/>
      <c r="BQ16" s="75"/>
      <c r="BR16" s="75"/>
      <c r="BS16" s="75"/>
      <c r="BT16" s="75"/>
      <c r="BU16" s="75"/>
      <c r="BV16" s="75"/>
      <c r="BW16" s="75"/>
      <c r="BX16" s="75"/>
      <c r="BY16" s="75"/>
      <c r="BZ16" s="75"/>
      <c r="CA16" s="75"/>
      <c r="CB16" s="75"/>
      <c r="CC16" s="75"/>
      <c r="CD16" s="75"/>
      <c r="CE16" s="75"/>
      <c r="CF16" s="75"/>
      <c r="CG16" s="75"/>
      <c r="CH16" s="75"/>
      <c r="CI16" s="75"/>
      <c r="CJ16" s="75"/>
      <c r="CK16" s="75"/>
      <c r="CL16" s="75"/>
      <c r="CM16" s="75"/>
      <c r="CN16" s="75"/>
      <c r="CO16" s="75"/>
      <c r="CP16" s="75"/>
      <c r="CQ16" s="75"/>
      <c r="CR16" s="75"/>
      <c r="CS16" s="75"/>
      <c r="CT16" s="75"/>
      <c r="CU16" s="75"/>
      <c r="CV16" s="75"/>
      <c r="CW16" s="75"/>
      <c r="CX16" s="75"/>
      <c r="CY16" s="75"/>
      <c r="CZ16" s="75"/>
      <c r="DA16" s="75"/>
      <c r="DB16" s="75"/>
      <c r="DC16" s="75"/>
      <c r="DD16" s="75"/>
      <c r="DE16" s="75"/>
      <c r="DF16" s="75"/>
      <c r="DG16" s="75"/>
      <c r="DH16" s="75"/>
      <c r="DI16" s="75"/>
      <c r="DJ16" s="75"/>
      <c r="DK16" s="75"/>
      <c r="DL16" s="75"/>
      <c r="DM16" s="75"/>
      <c r="DN16" s="75"/>
      <c r="DO16" s="75"/>
      <c r="DP16" s="75"/>
      <c r="DQ16" s="75"/>
      <c r="DR16" s="75"/>
      <c r="DS16" s="75"/>
      <c r="DT16" s="75"/>
      <c r="DU16" s="75"/>
      <c r="DV16" s="75"/>
      <c r="DW16" s="75"/>
      <c r="DX16" s="75"/>
      <c r="DY16" s="75"/>
      <c r="DZ16" s="75"/>
      <c r="EA16" s="75"/>
      <c r="EB16" s="75"/>
      <c r="EC16" s="75"/>
      <c r="ED16" s="75"/>
      <c r="EE16" s="75"/>
      <c r="EF16" s="75"/>
      <c r="EG16" s="75"/>
      <c r="EH16" s="75"/>
      <c r="EI16" s="75"/>
      <c r="EJ16" s="75"/>
      <c r="EK16" s="75"/>
      <c r="EL16" s="75"/>
      <c r="EM16" s="75"/>
      <c r="EN16" s="75"/>
      <c r="EO16" s="75"/>
      <c r="EP16" s="75"/>
      <c r="EQ16" s="75"/>
      <c r="ER16" s="75"/>
      <c r="ES16" s="75"/>
      <c r="ET16" s="75"/>
      <c r="EU16" s="75"/>
      <c r="EV16" s="75"/>
      <c r="EW16" s="75"/>
      <c r="EX16" s="75"/>
      <c r="EY16" s="75"/>
      <c r="EZ16" s="75"/>
      <c r="FA16" s="75"/>
      <c r="FB16" s="75"/>
      <c r="FC16" s="75"/>
      <c r="FD16" s="75"/>
      <c r="FE16" s="75"/>
      <c r="FF16" s="75"/>
      <c r="FG16" s="75"/>
      <c r="FH16" s="75"/>
      <c r="FI16" s="75"/>
      <c r="FJ16" s="75"/>
      <c r="FK16" s="75"/>
      <c r="FL16" s="75"/>
      <c r="FM16" s="75"/>
      <c r="FN16" s="75"/>
      <c r="FO16" s="75"/>
      <c r="FP16" s="75"/>
      <c r="FQ16" s="75"/>
      <c r="FR16" s="75"/>
      <c r="FS16" s="75"/>
      <c r="FT16" s="75"/>
      <c r="FU16" s="75"/>
      <c r="FV16" s="75"/>
      <c r="FW16" s="75"/>
      <c r="FX16" s="75"/>
      <c r="FY16" s="75"/>
      <c r="FZ16" s="75"/>
      <c r="GA16" s="75"/>
      <c r="GB16" s="75"/>
      <c r="GC16" s="75"/>
      <c r="GD16" s="75"/>
      <c r="GE16" s="75"/>
      <c r="GF16" s="75"/>
      <c r="GG16" s="75"/>
      <c r="GH16" s="75"/>
      <c r="GI16" s="75"/>
      <c r="GJ16" s="75"/>
      <c r="GK16" s="75"/>
      <c r="GL16" s="75"/>
      <c r="GM16" s="75"/>
      <c r="GN16" s="75"/>
      <c r="GO16" s="75"/>
      <c r="GP16" s="75"/>
      <c r="GQ16" s="75"/>
      <c r="GR16" s="75"/>
      <c r="GS16" s="75"/>
      <c r="GT16" s="75"/>
      <c r="GU16" s="75"/>
      <c r="GV16" s="75"/>
      <c r="GW16" s="75"/>
      <c r="GX16" s="75"/>
      <c r="GY16" s="75"/>
      <c r="GZ16" s="75"/>
      <c r="HA16" s="75"/>
      <c r="HB16" s="75"/>
      <c r="HC16" s="75"/>
      <c r="HD16" s="75"/>
      <c r="HE16" s="75"/>
      <c r="HF16" s="75"/>
      <c r="HG16" s="75"/>
      <c r="HH16" s="75"/>
      <c r="HI16" s="75"/>
      <c r="HJ16" s="75"/>
      <c r="HK16" s="75"/>
      <c r="HL16" s="75"/>
      <c r="HM16" s="75"/>
      <c r="HN16" s="75"/>
      <c r="HO16" s="75"/>
      <c r="HP16" s="75"/>
      <c r="HQ16" s="75"/>
      <c r="HR16" s="75"/>
      <c r="HS16" s="75"/>
      <c r="HT16" s="75"/>
      <c r="HU16" s="75"/>
      <c r="HV16" s="75"/>
      <c r="HW16" s="75"/>
      <c r="HX16" s="75"/>
      <c r="HY16" s="75"/>
      <c r="HZ16" s="75"/>
      <c r="IA16" s="75"/>
      <c r="IB16" s="75"/>
      <c r="IC16" s="75"/>
      <c r="ID16" s="75"/>
      <c r="IE16" s="75"/>
      <c r="IF16" s="75"/>
      <c r="IG16" s="75"/>
      <c r="IH16" s="75"/>
      <c r="II16" s="75"/>
      <c r="IJ16" s="75"/>
      <c r="IK16" s="75"/>
      <c r="IL16" s="75"/>
      <c r="IM16" s="75"/>
      <c r="IN16" s="75"/>
      <c r="IO16" s="75"/>
      <c r="IP16" s="75"/>
      <c r="IQ16" s="75"/>
      <c r="IR16" s="75"/>
      <c r="IS16" s="75"/>
      <c r="IT16" s="75"/>
      <c r="IU16" s="75"/>
      <c r="IV16" s="75"/>
      <c r="IW16" s="75"/>
      <c r="IX16" s="75"/>
      <c r="IY16" s="75"/>
      <c r="IZ16" s="75"/>
      <c r="JA16" s="75"/>
      <c r="JB16" s="75"/>
      <c r="JC16" s="75"/>
      <c r="JD16" s="75"/>
      <c r="JE16" s="75"/>
      <c r="JF16" s="75"/>
      <c r="JG16" s="75"/>
      <c r="JH16" s="75"/>
      <c r="JI16" s="75"/>
      <c r="JJ16" s="75"/>
      <c r="JK16" s="75"/>
      <c r="JL16" s="75"/>
      <c r="JM16" s="75"/>
      <c r="JN16" s="75"/>
      <c r="JO16" s="75"/>
      <c r="JP16" s="75"/>
      <c r="JQ16" s="75"/>
      <c r="JR16" s="75"/>
      <c r="JS16" s="75"/>
      <c r="JT16" s="75"/>
      <c r="JU16" s="75"/>
      <c r="JV16" s="75"/>
      <c r="JW16" s="75"/>
      <c r="JX16" s="75"/>
      <c r="JY16" s="75"/>
      <c r="JZ16" s="75"/>
      <c r="KA16" s="75"/>
      <c r="KB16" s="75"/>
      <c r="KC16" s="75"/>
      <c r="KD16" s="75"/>
      <c r="KE16" s="75"/>
      <c r="KF16" s="75"/>
      <c r="KG16" s="75"/>
      <c r="KH16" s="75"/>
      <c r="KI16" s="75"/>
      <c r="KJ16" s="75"/>
      <c r="KK16" s="75"/>
    </row>
    <row r="17" spans="1:297" ht="30" customHeight="1" x14ac:dyDescent="0.25">
      <c r="A17" s="33" t="s">
        <v>81</v>
      </c>
      <c r="B17" s="17" t="s">
        <v>82</v>
      </c>
      <c r="C17" s="4">
        <f>_xlfn.XLOOKUP(B17,Lookups!G:G,Lookups!H:H,"",0,1)</f>
        <v>3</v>
      </c>
      <c r="D17" s="4" t="str">
        <f>_xlfn.XLOOKUP(C17,[1]Sheet2!$A$2:$A$11,[1]Sheet2!$B$2:$B$11,"Not found")</f>
        <v>within 30 days</v>
      </c>
      <c r="E17" s="4"/>
      <c r="F17" s="13" t="str">
        <f>_xlfn.XLOOKUP(B17,'Holiday Inn Express'!B:B,'Holiday Inn Express'!F:F,"",0,1)</f>
        <v>Self-paced Online Learning (20 Minutes).</v>
      </c>
      <c r="G17" s="13" t="s">
        <v>170</v>
      </c>
      <c r="H17" s="13" t="s">
        <v>170</v>
      </c>
      <c r="I17" s="13" t="s">
        <v>170</v>
      </c>
      <c r="J17" s="13" t="s">
        <v>170</v>
      </c>
      <c r="K17" s="13" t="s">
        <v>170</v>
      </c>
      <c r="L17" s="13" t="s">
        <v>170</v>
      </c>
      <c r="M17" s="13" t="s">
        <v>170</v>
      </c>
      <c r="N17" s="13" t="s">
        <v>170</v>
      </c>
      <c r="O17" s="13" t="s">
        <v>170</v>
      </c>
      <c r="P17" s="13" t="s">
        <v>170</v>
      </c>
      <c r="Q17" s="13" t="s">
        <v>170</v>
      </c>
      <c r="R17" s="13" t="s">
        <v>170</v>
      </c>
      <c r="S17" s="13" t="s">
        <v>170</v>
      </c>
      <c r="T17" s="79"/>
      <c r="U17" s="79"/>
      <c r="V17" s="79"/>
      <c r="W17" s="79"/>
      <c r="X17" s="79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75"/>
      <c r="BQ17" s="75"/>
      <c r="BR17" s="75"/>
      <c r="BS17" s="75"/>
      <c r="BT17" s="75"/>
      <c r="BU17" s="75"/>
      <c r="BV17" s="75"/>
      <c r="BW17" s="75"/>
      <c r="BX17" s="75"/>
      <c r="BY17" s="75"/>
      <c r="BZ17" s="75"/>
      <c r="CA17" s="75"/>
      <c r="CB17" s="75"/>
      <c r="CC17" s="75"/>
      <c r="CD17" s="75"/>
      <c r="CE17" s="75"/>
      <c r="CF17" s="75"/>
      <c r="CG17" s="75"/>
      <c r="CH17" s="75"/>
      <c r="CI17" s="75"/>
      <c r="CJ17" s="75"/>
      <c r="CK17" s="75"/>
      <c r="CL17" s="75"/>
      <c r="CM17" s="75"/>
      <c r="CN17" s="75"/>
      <c r="CO17" s="75"/>
      <c r="CP17" s="75"/>
      <c r="CQ17" s="75"/>
      <c r="CR17" s="75"/>
      <c r="CS17" s="75"/>
      <c r="CT17" s="75"/>
      <c r="CU17" s="75"/>
      <c r="CV17" s="75"/>
      <c r="CW17" s="75"/>
      <c r="CX17" s="75"/>
      <c r="CY17" s="75"/>
      <c r="CZ17" s="75"/>
      <c r="DA17" s="75"/>
      <c r="DB17" s="75"/>
      <c r="DC17" s="75"/>
      <c r="DD17" s="75"/>
      <c r="DE17" s="75"/>
      <c r="DF17" s="75"/>
      <c r="DG17" s="75"/>
      <c r="DH17" s="75"/>
      <c r="DI17" s="75"/>
      <c r="DJ17" s="75"/>
      <c r="DK17" s="75"/>
      <c r="DL17" s="75"/>
      <c r="DM17" s="75"/>
      <c r="DN17" s="75"/>
      <c r="DO17" s="75"/>
      <c r="DP17" s="75"/>
      <c r="DQ17" s="75"/>
      <c r="DR17" s="75"/>
      <c r="DS17" s="75"/>
      <c r="DT17" s="75"/>
      <c r="DU17" s="75"/>
      <c r="DV17" s="75"/>
      <c r="DW17" s="75"/>
      <c r="DX17" s="75"/>
      <c r="DY17" s="75"/>
      <c r="DZ17" s="75"/>
      <c r="EA17" s="75"/>
      <c r="EB17" s="75"/>
      <c r="EC17" s="75"/>
      <c r="ED17" s="75"/>
      <c r="EE17" s="75"/>
      <c r="EF17" s="75"/>
      <c r="EG17" s="75"/>
      <c r="EH17" s="75"/>
      <c r="EI17" s="75"/>
      <c r="EJ17" s="75"/>
      <c r="EK17" s="75"/>
      <c r="EL17" s="75"/>
      <c r="EM17" s="75"/>
      <c r="EN17" s="75"/>
      <c r="EO17" s="75"/>
      <c r="EP17" s="75"/>
      <c r="EQ17" s="75"/>
      <c r="ER17" s="75"/>
      <c r="ES17" s="75"/>
      <c r="ET17" s="75"/>
      <c r="EU17" s="75"/>
      <c r="EV17" s="75"/>
      <c r="EW17" s="75"/>
      <c r="EX17" s="75"/>
      <c r="EY17" s="75"/>
      <c r="EZ17" s="75"/>
      <c r="FA17" s="75"/>
      <c r="FB17" s="75"/>
      <c r="FC17" s="75"/>
      <c r="FD17" s="75"/>
      <c r="FE17" s="75"/>
      <c r="FF17" s="75"/>
      <c r="FG17" s="75"/>
      <c r="FH17" s="75"/>
      <c r="FI17" s="75"/>
      <c r="FJ17" s="75"/>
      <c r="FK17" s="75"/>
      <c r="FL17" s="75"/>
      <c r="FM17" s="75"/>
      <c r="FN17" s="75"/>
      <c r="FO17" s="75"/>
      <c r="FP17" s="75"/>
      <c r="FQ17" s="75"/>
      <c r="FR17" s="75"/>
      <c r="FS17" s="75"/>
      <c r="FT17" s="75"/>
      <c r="FU17" s="75"/>
      <c r="FV17" s="75"/>
      <c r="FW17" s="75"/>
      <c r="FX17" s="75"/>
      <c r="FY17" s="75"/>
      <c r="FZ17" s="75"/>
      <c r="GA17" s="75"/>
      <c r="GB17" s="75"/>
      <c r="GC17" s="75"/>
      <c r="GD17" s="75"/>
      <c r="GE17" s="75"/>
      <c r="GF17" s="75"/>
      <c r="GG17" s="75"/>
      <c r="GH17" s="75"/>
      <c r="GI17" s="75"/>
      <c r="GJ17" s="75"/>
      <c r="GK17" s="75"/>
      <c r="GL17" s="75"/>
      <c r="GM17" s="75"/>
      <c r="GN17" s="75"/>
      <c r="GO17" s="75"/>
      <c r="GP17" s="75"/>
      <c r="GQ17" s="75"/>
      <c r="GR17" s="75"/>
      <c r="GS17" s="75"/>
      <c r="GT17" s="75"/>
      <c r="GU17" s="75"/>
      <c r="GV17" s="75"/>
      <c r="GW17" s="75"/>
      <c r="GX17" s="75"/>
      <c r="GY17" s="75"/>
      <c r="GZ17" s="75"/>
      <c r="HA17" s="75"/>
      <c r="HB17" s="75"/>
      <c r="HC17" s="75"/>
      <c r="HD17" s="75"/>
      <c r="HE17" s="75"/>
      <c r="HF17" s="75"/>
      <c r="HG17" s="75"/>
      <c r="HH17" s="75"/>
      <c r="HI17" s="75"/>
      <c r="HJ17" s="75"/>
      <c r="HK17" s="75"/>
      <c r="HL17" s="75"/>
      <c r="HM17" s="75"/>
      <c r="HN17" s="75"/>
      <c r="HO17" s="75"/>
      <c r="HP17" s="75"/>
      <c r="HQ17" s="75"/>
      <c r="HR17" s="75"/>
      <c r="HS17" s="75"/>
      <c r="HT17" s="75"/>
      <c r="HU17" s="75"/>
      <c r="HV17" s="75"/>
      <c r="HW17" s="75"/>
      <c r="HX17" s="75"/>
      <c r="HY17" s="75"/>
      <c r="HZ17" s="75"/>
      <c r="IA17" s="75"/>
      <c r="IB17" s="75"/>
      <c r="IC17" s="75"/>
      <c r="ID17" s="75"/>
      <c r="IE17" s="75"/>
      <c r="IF17" s="75"/>
      <c r="IG17" s="75"/>
      <c r="IH17" s="75"/>
      <c r="II17" s="75"/>
      <c r="IJ17" s="75"/>
      <c r="IK17" s="75"/>
      <c r="IL17" s="75"/>
      <c r="IM17" s="75"/>
      <c r="IN17" s="75"/>
      <c r="IO17" s="75"/>
      <c r="IP17" s="75"/>
      <c r="IQ17" s="75"/>
      <c r="IR17" s="75"/>
      <c r="IS17" s="75"/>
      <c r="IT17" s="75"/>
      <c r="IU17" s="75"/>
      <c r="IV17" s="75"/>
      <c r="IW17" s="75"/>
      <c r="IX17" s="75"/>
      <c r="IY17" s="75"/>
      <c r="IZ17" s="75"/>
      <c r="JA17" s="75"/>
      <c r="JB17" s="75"/>
      <c r="JC17" s="75"/>
      <c r="JD17" s="75"/>
      <c r="JE17" s="75"/>
      <c r="JF17" s="75"/>
      <c r="JG17" s="75"/>
      <c r="JH17" s="75"/>
      <c r="JI17" s="75"/>
      <c r="JJ17" s="75"/>
      <c r="JK17" s="75"/>
      <c r="JL17" s="75"/>
      <c r="JM17" s="75"/>
      <c r="JN17" s="75"/>
      <c r="JO17" s="75"/>
      <c r="JP17" s="75"/>
      <c r="JQ17" s="75"/>
      <c r="JR17" s="75"/>
      <c r="JS17" s="75"/>
      <c r="JT17" s="75"/>
      <c r="JU17" s="75"/>
      <c r="JV17" s="75"/>
      <c r="JW17" s="75"/>
      <c r="JX17" s="75"/>
      <c r="JY17" s="75"/>
      <c r="JZ17" s="75"/>
      <c r="KA17" s="75"/>
      <c r="KB17" s="75"/>
      <c r="KC17" s="75"/>
      <c r="KD17" s="75"/>
      <c r="KE17" s="75"/>
      <c r="KF17" s="75"/>
      <c r="KG17" s="75"/>
      <c r="KH17" s="75"/>
      <c r="KI17" s="75"/>
      <c r="KJ17" s="75"/>
      <c r="KK17" s="75"/>
    </row>
    <row r="18" spans="1:297" ht="30" customHeight="1" x14ac:dyDescent="0.25">
      <c r="A18" s="33" t="s">
        <v>83</v>
      </c>
      <c r="B18" s="17" t="s">
        <v>84</v>
      </c>
      <c r="C18" s="4">
        <f>_xlfn.XLOOKUP(B18,Lookups!G:G,Lookups!H:H,"",0,1)</f>
        <v>10</v>
      </c>
      <c r="D18" s="4" t="str">
        <f>_xlfn.XLOOKUP(C18,[1]Sheet2!$A$2:$A$11,[1]Sheet2!$B$2:$B$11,"Not found")</f>
        <v>Suggested Learning</v>
      </c>
      <c r="E18" s="4"/>
      <c r="F18" s="13" t="str">
        <f>_xlfn.XLOOKUP(B18,'Holiday Inn Express'!B:B,'Holiday Inn Express'!F:F,"",0,1)</f>
        <v>Self-paced Online Learning.</v>
      </c>
      <c r="G18" s="13" t="s">
        <v>170</v>
      </c>
      <c r="H18" s="13" t="s">
        <v>170</v>
      </c>
      <c r="I18" s="13" t="s">
        <v>170</v>
      </c>
      <c r="J18" s="13" t="s">
        <v>170</v>
      </c>
      <c r="K18" s="13" t="s">
        <v>170</v>
      </c>
      <c r="L18" s="13" t="s">
        <v>170</v>
      </c>
      <c r="M18" s="13" t="s">
        <v>170</v>
      </c>
      <c r="N18" s="13" t="s">
        <v>170</v>
      </c>
      <c r="O18" s="13" t="s">
        <v>169</v>
      </c>
      <c r="P18" s="13" t="s">
        <v>169</v>
      </c>
      <c r="Q18" s="13" t="s">
        <v>169</v>
      </c>
      <c r="R18" s="13" t="s">
        <v>170</v>
      </c>
      <c r="S18" s="13" t="s">
        <v>170</v>
      </c>
      <c r="T18" s="79"/>
      <c r="U18" s="79"/>
      <c r="V18" s="79"/>
      <c r="W18" s="79"/>
      <c r="X18" s="79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5"/>
      <c r="BF18" s="75"/>
      <c r="BG18" s="75"/>
      <c r="BH18" s="75"/>
      <c r="BI18" s="75"/>
      <c r="BJ18" s="75"/>
      <c r="BK18" s="75"/>
      <c r="BL18" s="75"/>
      <c r="BM18" s="75"/>
      <c r="BN18" s="75"/>
      <c r="BO18" s="75"/>
      <c r="BP18" s="75"/>
      <c r="BQ18" s="75"/>
      <c r="BR18" s="75"/>
      <c r="BS18" s="75"/>
      <c r="BT18" s="75"/>
      <c r="BU18" s="75"/>
      <c r="BV18" s="75"/>
      <c r="BW18" s="75"/>
      <c r="BX18" s="75"/>
      <c r="BY18" s="75"/>
      <c r="BZ18" s="75"/>
      <c r="CA18" s="75"/>
      <c r="CB18" s="75"/>
      <c r="CC18" s="75"/>
      <c r="CD18" s="75"/>
      <c r="CE18" s="75"/>
      <c r="CF18" s="75"/>
      <c r="CG18" s="75"/>
      <c r="CH18" s="75"/>
      <c r="CI18" s="75"/>
      <c r="CJ18" s="75"/>
      <c r="CK18" s="75"/>
      <c r="CL18" s="75"/>
      <c r="CM18" s="75"/>
      <c r="CN18" s="75"/>
      <c r="CO18" s="75"/>
      <c r="CP18" s="75"/>
      <c r="CQ18" s="75"/>
      <c r="CR18" s="75"/>
      <c r="CS18" s="75"/>
      <c r="CT18" s="75"/>
      <c r="CU18" s="75"/>
      <c r="CV18" s="75"/>
      <c r="CW18" s="75"/>
      <c r="CX18" s="75"/>
      <c r="CY18" s="75"/>
      <c r="CZ18" s="75"/>
      <c r="DA18" s="75"/>
      <c r="DB18" s="75"/>
      <c r="DC18" s="75"/>
      <c r="DD18" s="75"/>
      <c r="DE18" s="75"/>
      <c r="DF18" s="75"/>
      <c r="DG18" s="75"/>
      <c r="DH18" s="75"/>
      <c r="DI18" s="75"/>
      <c r="DJ18" s="75"/>
      <c r="DK18" s="75"/>
      <c r="DL18" s="75"/>
      <c r="DM18" s="75"/>
      <c r="DN18" s="75"/>
      <c r="DO18" s="75"/>
      <c r="DP18" s="75"/>
      <c r="DQ18" s="75"/>
      <c r="DR18" s="75"/>
      <c r="DS18" s="75"/>
      <c r="DT18" s="75"/>
      <c r="DU18" s="75"/>
      <c r="DV18" s="75"/>
      <c r="DW18" s="75"/>
      <c r="DX18" s="75"/>
      <c r="DY18" s="75"/>
      <c r="DZ18" s="75"/>
      <c r="EA18" s="75"/>
      <c r="EB18" s="75"/>
      <c r="EC18" s="75"/>
      <c r="ED18" s="75"/>
      <c r="EE18" s="75"/>
      <c r="EF18" s="75"/>
      <c r="EG18" s="75"/>
      <c r="EH18" s="75"/>
      <c r="EI18" s="75"/>
      <c r="EJ18" s="75"/>
      <c r="EK18" s="75"/>
      <c r="EL18" s="75"/>
      <c r="EM18" s="75"/>
      <c r="EN18" s="75"/>
      <c r="EO18" s="75"/>
      <c r="EP18" s="75"/>
      <c r="EQ18" s="75"/>
      <c r="ER18" s="75"/>
      <c r="ES18" s="75"/>
      <c r="ET18" s="75"/>
      <c r="EU18" s="75"/>
      <c r="EV18" s="75"/>
      <c r="EW18" s="75"/>
      <c r="EX18" s="75"/>
      <c r="EY18" s="75"/>
      <c r="EZ18" s="75"/>
      <c r="FA18" s="75"/>
      <c r="FB18" s="75"/>
      <c r="FC18" s="75"/>
      <c r="FD18" s="75"/>
      <c r="FE18" s="75"/>
      <c r="FF18" s="75"/>
      <c r="FG18" s="75"/>
      <c r="FH18" s="75"/>
      <c r="FI18" s="75"/>
      <c r="FJ18" s="75"/>
      <c r="FK18" s="75"/>
      <c r="FL18" s="75"/>
      <c r="FM18" s="75"/>
      <c r="FN18" s="75"/>
      <c r="FO18" s="75"/>
      <c r="FP18" s="75"/>
      <c r="FQ18" s="75"/>
      <c r="FR18" s="75"/>
      <c r="FS18" s="75"/>
      <c r="FT18" s="75"/>
      <c r="FU18" s="75"/>
      <c r="FV18" s="75"/>
      <c r="FW18" s="75"/>
      <c r="FX18" s="75"/>
      <c r="FY18" s="75"/>
      <c r="FZ18" s="75"/>
      <c r="GA18" s="75"/>
      <c r="GB18" s="75"/>
      <c r="GC18" s="75"/>
      <c r="GD18" s="75"/>
      <c r="GE18" s="75"/>
      <c r="GF18" s="75"/>
      <c r="GG18" s="75"/>
      <c r="GH18" s="75"/>
      <c r="GI18" s="75"/>
      <c r="GJ18" s="75"/>
      <c r="GK18" s="75"/>
      <c r="GL18" s="75"/>
      <c r="GM18" s="75"/>
      <c r="GN18" s="75"/>
      <c r="GO18" s="75"/>
      <c r="GP18" s="75"/>
      <c r="GQ18" s="75"/>
      <c r="GR18" s="75"/>
      <c r="GS18" s="75"/>
      <c r="GT18" s="75"/>
      <c r="GU18" s="75"/>
      <c r="GV18" s="75"/>
      <c r="GW18" s="75"/>
      <c r="GX18" s="75"/>
      <c r="GY18" s="75"/>
      <c r="GZ18" s="75"/>
      <c r="HA18" s="75"/>
      <c r="HB18" s="75"/>
      <c r="HC18" s="75"/>
      <c r="HD18" s="75"/>
      <c r="HE18" s="75"/>
      <c r="HF18" s="75"/>
      <c r="HG18" s="75"/>
      <c r="HH18" s="75"/>
      <c r="HI18" s="75"/>
      <c r="HJ18" s="75"/>
      <c r="HK18" s="75"/>
      <c r="HL18" s="75"/>
      <c r="HM18" s="75"/>
      <c r="HN18" s="75"/>
      <c r="HO18" s="75"/>
      <c r="HP18" s="75"/>
      <c r="HQ18" s="75"/>
      <c r="HR18" s="75"/>
      <c r="HS18" s="75"/>
      <c r="HT18" s="75"/>
      <c r="HU18" s="75"/>
      <c r="HV18" s="75"/>
      <c r="HW18" s="75"/>
      <c r="HX18" s="75"/>
      <c r="HY18" s="75"/>
      <c r="HZ18" s="75"/>
      <c r="IA18" s="75"/>
      <c r="IB18" s="75"/>
      <c r="IC18" s="75"/>
      <c r="ID18" s="75"/>
      <c r="IE18" s="75"/>
      <c r="IF18" s="75"/>
      <c r="IG18" s="75"/>
      <c r="IH18" s="75"/>
      <c r="II18" s="75"/>
      <c r="IJ18" s="75"/>
      <c r="IK18" s="75"/>
      <c r="IL18" s="75"/>
      <c r="IM18" s="75"/>
      <c r="IN18" s="75"/>
      <c r="IO18" s="75"/>
      <c r="IP18" s="75"/>
      <c r="IQ18" s="75"/>
      <c r="IR18" s="75"/>
      <c r="IS18" s="75"/>
      <c r="IT18" s="75"/>
      <c r="IU18" s="75"/>
      <c r="IV18" s="75"/>
      <c r="IW18" s="75"/>
      <c r="IX18" s="75"/>
      <c r="IY18" s="75"/>
      <c r="IZ18" s="75"/>
      <c r="JA18" s="75"/>
      <c r="JB18" s="75"/>
      <c r="JC18" s="75"/>
      <c r="JD18" s="75"/>
      <c r="JE18" s="75"/>
      <c r="JF18" s="75"/>
      <c r="JG18" s="75"/>
      <c r="JH18" s="75"/>
      <c r="JI18" s="75"/>
      <c r="JJ18" s="75"/>
      <c r="JK18" s="75"/>
      <c r="JL18" s="75"/>
      <c r="JM18" s="75"/>
      <c r="JN18" s="75"/>
      <c r="JO18" s="75"/>
      <c r="JP18" s="75"/>
      <c r="JQ18" s="75"/>
      <c r="JR18" s="75"/>
      <c r="JS18" s="75"/>
      <c r="JT18" s="75"/>
      <c r="JU18" s="75"/>
      <c r="JV18" s="75"/>
      <c r="JW18" s="75"/>
      <c r="JX18" s="75"/>
      <c r="JY18" s="75"/>
      <c r="JZ18" s="75"/>
      <c r="KA18" s="75"/>
      <c r="KB18" s="75"/>
      <c r="KC18" s="75"/>
      <c r="KD18" s="75"/>
      <c r="KE18" s="75"/>
      <c r="KF18" s="75"/>
      <c r="KG18" s="75"/>
      <c r="KH18" s="75"/>
      <c r="KI18" s="75"/>
      <c r="KJ18" s="75"/>
      <c r="KK18" s="75"/>
    </row>
    <row r="19" spans="1:297" ht="30" customHeight="1" x14ac:dyDescent="0.25">
      <c r="A19" s="33" t="s">
        <v>85</v>
      </c>
      <c r="B19" s="17" t="s">
        <v>86</v>
      </c>
      <c r="C19" s="4">
        <f>_xlfn.XLOOKUP(B19,Lookups!G:G,Lookups!H:H,"",0,1)</f>
        <v>10</v>
      </c>
      <c r="D19" s="4" t="str">
        <f>_xlfn.XLOOKUP(C19,[1]Sheet2!$A$2:$A$11,[1]Sheet2!$B$2:$B$11,"Not found")</f>
        <v>Suggested Learning</v>
      </c>
      <c r="E19" s="4"/>
      <c r="F19" s="13" t="str">
        <f>_xlfn.XLOOKUP(B19,'Holiday Inn Express'!B:B,'Holiday Inn Express'!F:F,"",0,1)</f>
        <v>Self-paced Online Learning.</v>
      </c>
      <c r="G19" s="13" t="s">
        <v>170</v>
      </c>
      <c r="H19" s="13" t="s">
        <v>169</v>
      </c>
      <c r="I19" s="13" t="s">
        <v>169</v>
      </c>
      <c r="J19" s="13" t="s">
        <v>170</v>
      </c>
      <c r="K19" s="13" t="s">
        <v>169</v>
      </c>
      <c r="L19" s="13" t="s">
        <v>169</v>
      </c>
      <c r="M19" s="13" t="s">
        <v>169</v>
      </c>
      <c r="N19" s="13" t="s">
        <v>170</v>
      </c>
      <c r="O19" s="13" t="s">
        <v>169</v>
      </c>
      <c r="P19" s="13" t="s">
        <v>169</v>
      </c>
      <c r="Q19" s="13" t="s">
        <v>169</v>
      </c>
      <c r="R19" s="13" t="s">
        <v>169</v>
      </c>
      <c r="S19" s="13" t="s">
        <v>169</v>
      </c>
      <c r="T19" s="79"/>
      <c r="U19" s="79"/>
      <c r="V19" s="79"/>
      <c r="W19" s="79"/>
      <c r="X19" s="79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5"/>
      <c r="BK19" s="75"/>
      <c r="BL19" s="75"/>
      <c r="BM19" s="75"/>
      <c r="BN19" s="75"/>
      <c r="BO19" s="75"/>
      <c r="BP19" s="75"/>
      <c r="BQ19" s="75"/>
      <c r="BR19" s="75"/>
      <c r="BS19" s="75"/>
      <c r="BT19" s="75"/>
      <c r="BU19" s="75"/>
      <c r="BV19" s="75"/>
      <c r="BW19" s="75"/>
      <c r="BX19" s="75"/>
      <c r="BY19" s="75"/>
      <c r="BZ19" s="75"/>
      <c r="CA19" s="75"/>
      <c r="CB19" s="75"/>
      <c r="CC19" s="75"/>
      <c r="CD19" s="75"/>
      <c r="CE19" s="75"/>
      <c r="CF19" s="75"/>
      <c r="CG19" s="75"/>
      <c r="CH19" s="75"/>
      <c r="CI19" s="75"/>
      <c r="CJ19" s="75"/>
      <c r="CK19" s="75"/>
      <c r="CL19" s="75"/>
      <c r="CM19" s="75"/>
      <c r="CN19" s="75"/>
      <c r="CO19" s="75"/>
      <c r="CP19" s="75"/>
      <c r="CQ19" s="75"/>
      <c r="CR19" s="75"/>
      <c r="CS19" s="75"/>
      <c r="CT19" s="75"/>
      <c r="CU19" s="75"/>
      <c r="CV19" s="75"/>
      <c r="CW19" s="75"/>
      <c r="CX19" s="75"/>
      <c r="CY19" s="75"/>
      <c r="CZ19" s="75"/>
      <c r="DA19" s="75"/>
      <c r="DB19" s="75"/>
      <c r="DC19" s="75"/>
      <c r="DD19" s="75"/>
      <c r="DE19" s="75"/>
      <c r="DF19" s="75"/>
      <c r="DG19" s="75"/>
      <c r="DH19" s="75"/>
      <c r="DI19" s="75"/>
      <c r="DJ19" s="75"/>
      <c r="DK19" s="75"/>
      <c r="DL19" s="75"/>
      <c r="DM19" s="75"/>
      <c r="DN19" s="75"/>
      <c r="DO19" s="75"/>
      <c r="DP19" s="75"/>
      <c r="DQ19" s="75"/>
      <c r="DR19" s="75"/>
      <c r="DS19" s="75"/>
      <c r="DT19" s="75"/>
      <c r="DU19" s="75"/>
      <c r="DV19" s="75"/>
      <c r="DW19" s="75"/>
      <c r="DX19" s="75"/>
      <c r="DY19" s="75"/>
      <c r="DZ19" s="75"/>
      <c r="EA19" s="75"/>
      <c r="EB19" s="75"/>
      <c r="EC19" s="75"/>
      <c r="ED19" s="75"/>
      <c r="EE19" s="75"/>
      <c r="EF19" s="75"/>
      <c r="EG19" s="75"/>
      <c r="EH19" s="75"/>
      <c r="EI19" s="75"/>
      <c r="EJ19" s="75"/>
      <c r="EK19" s="75"/>
      <c r="EL19" s="75"/>
      <c r="EM19" s="75"/>
      <c r="EN19" s="75"/>
      <c r="EO19" s="75"/>
      <c r="EP19" s="75"/>
      <c r="EQ19" s="75"/>
      <c r="ER19" s="75"/>
      <c r="ES19" s="75"/>
      <c r="ET19" s="75"/>
      <c r="EU19" s="75"/>
      <c r="EV19" s="75"/>
      <c r="EW19" s="75"/>
      <c r="EX19" s="75"/>
      <c r="EY19" s="75"/>
      <c r="EZ19" s="75"/>
      <c r="FA19" s="75"/>
      <c r="FB19" s="75"/>
      <c r="FC19" s="75"/>
      <c r="FD19" s="75"/>
      <c r="FE19" s="75"/>
      <c r="FF19" s="75"/>
      <c r="FG19" s="75"/>
      <c r="FH19" s="75"/>
      <c r="FI19" s="75"/>
      <c r="FJ19" s="75"/>
      <c r="FK19" s="75"/>
      <c r="FL19" s="75"/>
      <c r="FM19" s="75"/>
      <c r="FN19" s="75"/>
      <c r="FO19" s="75"/>
      <c r="FP19" s="75"/>
      <c r="FQ19" s="75"/>
      <c r="FR19" s="75"/>
      <c r="FS19" s="75"/>
      <c r="FT19" s="75"/>
      <c r="FU19" s="75"/>
      <c r="FV19" s="75"/>
      <c r="FW19" s="75"/>
      <c r="FX19" s="75"/>
      <c r="FY19" s="75"/>
      <c r="FZ19" s="75"/>
      <c r="GA19" s="75"/>
      <c r="GB19" s="75"/>
      <c r="GC19" s="75"/>
      <c r="GD19" s="75"/>
      <c r="GE19" s="75"/>
      <c r="GF19" s="75"/>
      <c r="GG19" s="75"/>
      <c r="GH19" s="75"/>
      <c r="GI19" s="75"/>
      <c r="GJ19" s="75"/>
      <c r="GK19" s="75"/>
      <c r="GL19" s="75"/>
      <c r="GM19" s="75"/>
      <c r="GN19" s="75"/>
      <c r="GO19" s="75"/>
      <c r="GP19" s="75"/>
      <c r="GQ19" s="75"/>
      <c r="GR19" s="75"/>
      <c r="GS19" s="75"/>
      <c r="GT19" s="75"/>
      <c r="GU19" s="75"/>
      <c r="GV19" s="75"/>
      <c r="GW19" s="75"/>
      <c r="GX19" s="75"/>
      <c r="GY19" s="75"/>
      <c r="GZ19" s="75"/>
      <c r="HA19" s="75"/>
      <c r="HB19" s="75"/>
      <c r="HC19" s="75"/>
      <c r="HD19" s="75"/>
      <c r="HE19" s="75"/>
      <c r="HF19" s="75"/>
      <c r="HG19" s="75"/>
      <c r="HH19" s="75"/>
      <c r="HI19" s="75"/>
      <c r="HJ19" s="75"/>
      <c r="HK19" s="75"/>
      <c r="HL19" s="75"/>
      <c r="HM19" s="75"/>
      <c r="HN19" s="75"/>
      <c r="HO19" s="75"/>
      <c r="HP19" s="75"/>
      <c r="HQ19" s="75"/>
      <c r="HR19" s="75"/>
      <c r="HS19" s="75"/>
      <c r="HT19" s="75"/>
      <c r="HU19" s="75"/>
      <c r="HV19" s="75"/>
      <c r="HW19" s="75"/>
      <c r="HX19" s="75"/>
      <c r="HY19" s="75"/>
      <c r="HZ19" s="75"/>
      <c r="IA19" s="75"/>
      <c r="IB19" s="75"/>
      <c r="IC19" s="75"/>
      <c r="ID19" s="75"/>
      <c r="IE19" s="75"/>
      <c r="IF19" s="75"/>
      <c r="IG19" s="75"/>
      <c r="IH19" s="75"/>
      <c r="II19" s="75"/>
      <c r="IJ19" s="75"/>
      <c r="IK19" s="75"/>
      <c r="IL19" s="75"/>
      <c r="IM19" s="75"/>
      <c r="IN19" s="75"/>
      <c r="IO19" s="75"/>
      <c r="IP19" s="75"/>
      <c r="IQ19" s="75"/>
      <c r="IR19" s="75"/>
      <c r="IS19" s="75"/>
      <c r="IT19" s="75"/>
      <c r="IU19" s="75"/>
      <c r="IV19" s="75"/>
      <c r="IW19" s="75"/>
      <c r="IX19" s="75"/>
      <c r="IY19" s="75"/>
      <c r="IZ19" s="75"/>
      <c r="JA19" s="75"/>
      <c r="JB19" s="75"/>
      <c r="JC19" s="75"/>
      <c r="JD19" s="75"/>
      <c r="JE19" s="75"/>
      <c r="JF19" s="75"/>
      <c r="JG19" s="75"/>
      <c r="JH19" s="75"/>
      <c r="JI19" s="75"/>
      <c r="JJ19" s="75"/>
      <c r="JK19" s="75"/>
      <c r="JL19" s="75"/>
      <c r="JM19" s="75"/>
      <c r="JN19" s="75"/>
      <c r="JO19" s="75"/>
      <c r="JP19" s="75"/>
      <c r="JQ19" s="75"/>
      <c r="JR19" s="75"/>
      <c r="JS19" s="75"/>
      <c r="JT19" s="75"/>
      <c r="JU19" s="75"/>
      <c r="JV19" s="75"/>
      <c r="JW19" s="75"/>
      <c r="JX19" s="75"/>
      <c r="JY19" s="75"/>
      <c r="JZ19" s="75"/>
      <c r="KA19" s="75"/>
      <c r="KB19" s="75"/>
      <c r="KC19" s="75"/>
      <c r="KD19" s="75"/>
      <c r="KE19" s="75"/>
      <c r="KF19" s="75"/>
      <c r="KG19" s="75"/>
      <c r="KH19" s="75"/>
      <c r="KI19" s="75"/>
      <c r="KJ19" s="75"/>
      <c r="KK19" s="75"/>
    </row>
    <row r="20" spans="1:297" ht="30" customHeight="1" x14ac:dyDescent="0.25">
      <c r="A20" s="33" t="s">
        <v>87</v>
      </c>
      <c r="B20" s="15" t="s">
        <v>88</v>
      </c>
      <c r="C20" s="4">
        <f>_xlfn.XLOOKUP(B20,Lookups!G:G,Lookups!H:H,"",0,1)</f>
        <v>3</v>
      </c>
      <c r="D20" s="4" t="str">
        <f>_xlfn.XLOOKUP(C20,[1]Sheet2!$A$2:$A$11,[1]Sheet2!$B$2:$B$11,"Not found")</f>
        <v>within 30 days</v>
      </c>
      <c r="E20" s="4"/>
      <c r="F20" s="13" t="str">
        <f>_xlfn.XLOOKUP(B20,'Holiday Inn Express'!B:B,'Holiday Inn Express'!F:F,"",0,1)</f>
        <v xml:space="preserve">Hotel-led in-person training (On-Job-Training, OJT) is permitted &amp; completions must be tracked in myLearning. </v>
      </c>
      <c r="G20" s="13" t="s">
        <v>169</v>
      </c>
      <c r="H20" s="13" t="s">
        <v>169</v>
      </c>
      <c r="I20" s="13" t="s">
        <v>169</v>
      </c>
      <c r="J20" s="13" t="s">
        <v>169</v>
      </c>
      <c r="K20" s="13" t="s">
        <v>170</v>
      </c>
      <c r="L20" s="13" t="s">
        <v>169</v>
      </c>
      <c r="M20" s="13" t="s">
        <v>169</v>
      </c>
      <c r="N20" s="13" t="s">
        <v>169</v>
      </c>
      <c r="O20" s="13" t="s">
        <v>170</v>
      </c>
      <c r="P20" s="13" t="s">
        <v>170</v>
      </c>
      <c r="Q20" s="13" t="s">
        <v>169</v>
      </c>
      <c r="R20" s="13" t="s">
        <v>169</v>
      </c>
      <c r="S20" s="13" t="s">
        <v>169</v>
      </c>
      <c r="T20" s="79"/>
      <c r="U20" s="79"/>
      <c r="V20" s="79"/>
      <c r="W20" s="79"/>
      <c r="X20" s="79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5"/>
      <c r="BF20" s="75"/>
      <c r="BG20" s="75"/>
      <c r="BH20" s="75"/>
      <c r="BI20" s="75"/>
      <c r="BJ20" s="75"/>
      <c r="BK20" s="75"/>
      <c r="BL20" s="75"/>
      <c r="BM20" s="75"/>
      <c r="BN20" s="75"/>
      <c r="BO20" s="75"/>
      <c r="BP20" s="75"/>
      <c r="BQ20" s="75"/>
      <c r="BR20" s="75"/>
      <c r="BS20" s="75"/>
      <c r="BT20" s="75"/>
      <c r="BU20" s="75"/>
      <c r="BV20" s="75"/>
      <c r="BW20" s="75"/>
      <c r="BX20" s="75"/>
      <c r="BY20" s="75"/>
      <c r="BZ20" s="75"/>
      <c r="CA20" s="75"/>
      <c r="CB20" s="75"/>
      <c r="CC20" s="75"/>
      <c r="CD20" s="75"/>
      <c r="CE20" s="75"/>
      <c r="CF20" s="75"/>
      <c r="CG20" s="75"/>
      <c r="CH20" s="75"/>
      <c r="CI20" s="75"/>
      <c r="CJ20" s="75"/>
      <c r="CK20" s="75"/>
      <c r="CL20" s="75"/>
      <c r="CM20" s="75"/>
      <c r="CN20" s="75"/>
      <c r="CO20" s="75"/>
      <c r="CP20" s="75"/>
      <c r="CQ20" s="75"/>
      <c r="CR20" s="75"/>
      <c r="CS20" s="75"/>
      <c r="CT20" s="75"/>
      <c r="CU20" s="75"/>
      <c r="CV20" s="75"/>
      <c r="CW20" s="75"/>
      <c r="CX20" s="75"/>
      <c r="CY20" s="75"/>
      <c r="CZ20" s="75"/>
      <c r="DA20" s="75"/>
      <c r="DB20" s="75"/>
      <c r="DC20" s="75"/>
      <c r="DD20" s="75"/>
      <c r="DE20" s="75"/>
      <c r="DF20" s="75"/>
      <c r="DG20" s="75"/>
      <c r="DH20" s="75"/>
      <c r="DI20" s="75"/>
      <c r="DJ20" s="75"/>
      <c r="DK20" s="75"/>
      <c r="DL20" s="75"/>
      <c r="DM20" s="75"/>
      <c r="DN20" s="75"/>
      <c r="DO20" s="75"/>
      <c r="DP20" s="75"/>
      <c r="DQ20" s="75"/>
      <c r="DR20" s="75"/>
      <c r="DS20" s="75"/>
      <c r="DT20" s="75"/>
      <c r="DU20" s="75"/>
      <c r="DV20" s="75"/>
      <c r="DW20" s="75"/>
      <c r="DX20" s="75"/>
      <c r="DY20" s="75"/>
      <c r="DZ20" s="75"/>
      <c r="EA20" s="75"/>
      <c r="EB20" s="75"/>
      <c r="EC20" s="75"/>
      <c r="ED20" s="75"/>
      <c r="EE20" s="75"/>
      <c r="EF20" s="75"/>
      <c r="EG20" s="75"/>
      <c r="EH20" s="75"/>
      <c r="EI20" s="75"/>
      <c r="EJ20" s="75"/>
      <c r="EK20" s="75"/>
      <c r="EL20" s="75"/>
      <c r="EM20" s="75"/>
      <c r="EN20" s="75"/>
      <c r="EO20" s="75"/>
      <c r="EP20" s="75"/>
      <c r="EQ20" s="75"/>
      <c r="ER20" s="75"/>
      <c r="ES20" s="75"/>
      <c r="ET20" s="75"/>
      <c r="EU20" s="75"/>
      <c r="EV20" s="75"/>
      <c r="EW20" s="75"/>
      <c r="EX20" s="75"/>
      <c r="EY20" s="75"/>
      <c r="EZ20" s="75"/>
      <c r="FA20" s="75"/>
      <c r="FB20" s="75"/>
      <c r="FC20" s="75"/>
      <c r="FD20" s="75"/>
      <c r="FE20" s="75"/>
      <c r="FF20" s="75"/>
      <c r="FG20" s="75"/>
      <c r="FH20" s="75"/>
      <c r="FI20" s="75"/>
      <c r="FJ20" s="75"/>
      <c r="FK20" s="75"/>
      <c r="FL20" s="75"/>
      <c r="FM20" s="75"/>
      <c r="FN20" s="75"/>
      <c r="FO20" s="75"/>
      <c r="FP20" s="75"/>
      <c r="FQ20" s="75"/>
      <c r="FR20" s="75"/>
      <c r="FS20" s="75"/>
      <c r="FT20" s="75"/>
      <c r="FU20" s="75"/>
      <c r="FV20" s="75"/>
      <c r="FW20" s="75"/>
      <c r="FX20" s="75"/>
      <c r="FY20" s="75"/>
      <c r="FZ20" s="75"/>
      <c r="GA20" s="75"/>
      <c r="GB20" s="75"/>
      <c r="GC20" s="75"/>
      <c r="GD20" s="75"/>
      <c r="GE20" s="75"/>
      <c r="GF20" s="75"/>
      <c r="GG20" s="75"/>
      <c r="GH20" s="75"/>
      <c r="GI20" s="75"/>
      <c r="GJ20" s="75"/>
      <c r="GK20" s="75"/>
      <c r="GL20" s="75"/>
      <c r="GM20" s="75"/>
      <c r="GN20" s="75"/>
      <c r="GO20" s="75"/>
      <c r="GP20" s="75"/>
      <c r="GQ20" s="75"/>
      <c r="GR20" s="75"/>
      <c r="GS20" s="75"/>
      <c r="GT20" s="75"/>
      <c r="GU20" s="75"/>
      <c r="GV20" s="75"/>
      <c r="GW20" s="75"/>
      <c r="GX20" s="75"/>
      <c r="GY20" s="75"/>
      <c r="GZ20" s="75"/>
      <c r="HA20" s="75"/>
      <c r="HB20" s="75"/>
      <c r="HC20" s="75"/>
      <c r="HD20" s="75"/>
      <c r="HE20" s="75"/>
      <c r="HF20" s="75"/>
      <c r="HG20" s="75"/>
      <c r="HH20" s="75"/>
      <c r="HI20" s="75"/>
      <c r="HJ20" s="75"/>
      <c r="HK20" s="75"/>
      <c r="HL20" s="75"/>
      <c r="HM20" s="75"/>
      <c r="HN20" s="75"/>
      <c r="HO20" s="75"/>
      <c r="HP20" s="75"/>
      <c r="HQ20" s="75"/>
      <c r="HR20" s="75"/>
      <c r="HS20" s="75"/>
      <c r="HT20" s="75"/>
      <c r="HU20" s="75"/>
      <c r="HV20" s="75"/>
      <c r="HW20" s="75"/>
      <c r="HX20" s="75"/>
      <c r="HY20" s="75"/>
      <c r="HZ20" s="75"/>
      <c r="IA20" s="75"/>
      <c r="IB20" s="75"/>
      <c r="IC20" s="75"/>
      <c r="ID20" s="75"/>
      <c r="IE20" s="75"/>
      <c r="IF20" s="75"/>
      <c r="IG20" s="75"/>
      <c r="IH20" s="75"/>
      <c r="II20" s="75"/>
      <c r="IJ20" s="75"/>
      <c r="IK20" s="75"/>
      <c r="IL20" s="75"/>
      <c r="IM20" s="75"/>
      <c r="IN20" s="75"/>
      <c r="IO20" s="75"/>
      <c r="IP20" s="75"/>
      <c r="IQ20" s="75"/>
      <c r="IR20" s="75"/>
      <c r="IS20" s="75"/>
      <c r="IT20" s="75"/>
      <c r="IU20" s="75"/>
      <c r="IV20" s="75"/>
      <c r="IW20" s="75"/>
      <c r="IX20" s="75"/>
      <c r="IY20" s="75"/>
      <c r="IZ20" s="75"/>
      <c r="JA20" s="75"/>
      <c r="JB20" s="75"/>
      <c r="JC20" s="75"/>
      <c r="JD20" s="75"/>
      <c r="JE20" s="75"/>
      <c r="JF20" s="75"/>
      <c r="JG20" s="75"/>
      <c r="JH20" s="75"/>
      <c r="JI20" s="75"/>
      <c r="JJ20" s="75"/>
      <c r="JK20" s="75"/>
      <c r="JL20" s="75"/>
      <c r="JM20" s="75"/>
      <c r="JN20" s="75"/>
      <c r="JO20" s="75"/>
      <c r="JP20" s="75"/>
      <c r="JQ20" s="75"/>
      <c r="JR20" s="75"/>
      <c r="JS20" s="75"/>
      <c r="JT20" s="75"/>
      <c r="JU20" s="75"/>
      <c r="JV20" s="75"/>
      <c r="JW20" s="75"/>
      <c r="JX20" s="75"/>
      <c r="JY20" s="75"/>
      <c r="JZ20" s="75"/>
      <c r="KA20" s="75"/>
      <c r="KB20" s="75"/>
      <c r="KC20" s="75"/>
      <c r="KD20" s="75"/>
      <c r="KE20" s="75"/>
      <c r="KF20" s="75"/>
      <c r="KG20" s="75"/>
      <c r="KH20" s="75"/>
      <c r="KI20" s="75"/>
      <c r="KJ20" s="75"/>
      <c r="KK20" s="75"/>
    </row>
    <row r="21" spans="1:297" ht="30" customHeight="1" x14ac:dyDescent="0.25">
      <c r="A21" s="33" t="s">
        <v>89</v>
      </c>
      <c r="B21" s="16" t="s">
        <v>90</v>
      </c>
      <c r="C21" s="4">
        <f>_xlfn.XLOOKUP(B21,Lookups!G:G,Lookups!H:H,"",0,1)</f>
        <v>3</v>
      </c>
      <c r="D21" s="4" t="str">
        <f>_xlfn.XLOOKUP(C21,[1]Sheet2!$A$2:$A$11,[1]Sheet2!$B$2:$B$11,"Not found")</f>
        <v>within 30 days</v>
      </c>
      <c r="E21" s="4"/>
      <c r="F21" s="13" t="str">
        <f>_xlfn.XLOOKUP(B21,'Holiday Inn Express'!B:B,'Holiday Inn Express'!F:F,"",0,1)</f>
        <v xml:space="preserve">Self-paced Online Learning (20 Minutes). Hotel-led in-person training (On-Job-Training, OJT) is permitted &amp; completions must be tracked in myLearning. </v>
      </c>
      <c r="G21" s="13" t="s">
        <v>170</v>
      </c>
      <c r="H21" s="13" t="s">
        <v>170</v>
      </c>
      <c r="I21" s="13" t="s">
        <v>170</v>
      </c>
      <c r="J21" s="13" t="s">
        <v>170</v>
      </c>
      <c r="K21" s="13" t="s">
        <v>169</v>
      </c>
      <c r="L21" s="13" t="s">
        <v>170</v>
      </c>
      <c r="M21" s="13" t="s">
        <v>170</v>
      </c>
      <c r="N21" s="13" t="s">
        <v>170</v>
      </c>
      <c r="O21" s="13" t="s">
        <v>169</v>
      </c>
      <c r="P21" s="13" t="s">
        <v>169</v>
      </c>
      <c r="Q21" s="13" t="s">
        <v>170</v>
      </c>
      <c r="R21" s="13" t="s">
        <v>170</v>
      </c>
      <c r="S21" s="13" t="s">
        <v>170</v>
      </c>
      <c r="T21" s="79"/>
      <c r="U21" s="79"/>
      <c r="V21" s="79"/>
      <c r="W21" s="79"/>
      <c r="X21" s="79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5"/>
      <c r="BF21" s="75"/>
      <c r="BG21" s="75"/>
      <c r="BH21" s="75"/>
      <c r="BI21" s="75"/>
      <c r="BJ21" s="75"/>
      <c r="BK21" s="75"/>
      <c r="BL21" s="75"/>
      <c r="BM21" s="75"/>
      <c r="BN21" s="75"/>
      <c r="BO21" s="75"/>
      <c r="BP21" s="75"/>
      <c r="BQ21" s="75"/>
      <c r="BR21" s="75"/>
      <c r="BS21" s="75"/>
      <c r="BT21" s="75"/>
      <c r="BU21" s="75"/>
      <c r="BV21" s="75"/>
      <c r="BW21" s="75"/>
      <c r="BX21" s="75"/>
      <c r="BY21" s="75"/>
      <c r="BZ21" s="75"/>
      <c r="CA21" s="75"/>
      <c r="CB21" s="75"/>
      <c r="CC21" s="75"/>
      <c r="CD21" s="75"/>
      <c r="CE21" s="75"/>
      <c r="CF21" s="75"/>
      <c r="CG21" s="75"/>
      <c r="CH21" s="75"/>
      <c r="CI21" s="75"/>
      <c r="CJ21" s="75"/>
      <c r="CK21" s="75"/>
      <c r="CL21" s="75"/>
      <c r="CM21" s="75"/>
      <c r="CN21" s="75"/>
      <c r="CO21" s="75"/>
      <c r="CP21" s="75"/>
      <c r="CQ21" s="75"/>
      <c r="CR21" s="75"/>
      <c r="CS21" s="75"/>
      <c r="CT21" s="75"/>
      <c r="CU21" s="75"/>
      <c r="CV21" s="75"/>
      <c r="CW21" s="75"/>
      <c r="CX21" s="75"/>
      <c r="CY21" s="75"/>
      <c r="CZ21" s="75"/>
      <c r="DA21" s="75"/>
      <c r="DB21" s="75"/>
      <c r="DC21" s="75"/>
      <c r="DD21" s="75"/>
      <c r="DE21" s="75"/>
      <c r="DF21" s="75"/>
      <c r="DG21" s="75"/>
      <c r="DH21" s="75"/>
      <c r="DI21" s="75"/>
      <c r="DJ21" s="75"/>
      <c r="DK21" s="75"/>
      <c r="DL21" s="75"/>
      <c r="DM21" s="75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75"/>
      <c r="EC21" s="75"/>
      <c r="ED21" s="75"/>
      <c r="EE21" s="75"/>
      <c r="EF21" s="75"/>
      <c r="EG21" s="75"/>
      <c r="EH21" s="75"/>
      <c r="EI21" s="75"/>
      <c r="EJ21" s="75"/>
      <c r="EK21" s="75"/>
      <c r="EL21" s="75"/>
      <c r="EM21" s="75"/>
      <c r="EN21" s="75"/>
      <c r="EO21" s="75"/>
      <c r="EP21" s="75"/>
      <c r="EQ21" s="75"/>
      <c r="ER21" s="75"/>
      <c r="ES21" s="75"/>
      <c r="ET21" s="75"/>
      <c r="EU21" s="75"/>
      <c r="EV21" s="75"/>
      <c r="EW21" s="75"/>
      <c r="EX21" s="75"/>
      <c r="EY21" s="75"/>
      <c r="EZ21" s="75"/>
      <c r="FA21" s="75"/>
      <c r="FB21" s="75"/>
      <c r="FC21" s="75"/>
      <c r="FD21" s="75"/>
      <c r="FE21" s="75"/>
      <c r="FF21" s="75"/>
      <c r="FG21" s="75"/>
      <c r="FH21" s="75"/>
      <c r="FI21" s="75"/>
      <c r="FJ21" s="75"/>
      <c r="FK21" s="75"/>
      <c r="FL21" s="75"/>
      <c r="FM21" s="75"/>
      <c r="FN21" s="75"/>
      <c r="FO21" s="75"/>
      <c r="FP21" s="75"/>
      <c r="FQ21" s="75"/>
      <c r="FR21" s="75"/>
      <c r="FS21" s="75"/>
      <c r="FT21" s="75"/>
      <c r="FU21" s="75"/>
      <c r="FV21" s="75"/>
      <c r="FW21" s="75"/>
      <c r="FX21" s="75"/>
      <c r="FY21" s="75"/>
      <c r="FZ21" s="75"/>
      <c r="GA21" s="75"/>
      <c r="GB21" s="75"/>
      <c r="GC21" s="75"/>
      <c r="GD21" s="75"/>
      <c r="GE21" s="75"/>
      <c r="GF21" s="75"/>
      <c r="GG21" s="75"/>
      <c r="GH21" s="75"/>
      <c r="GI21" s="75"/>
      <c r="GJ21" s="75"/>
      <c r="GK21" s="75"/>
      <c r="GL21" s="75"/>
      <c r="GM21" s="75"/>
      <c r="GN21" s="75"/>
      <c r="GO21" s="75"/>
      <c r="GP21" s="75"/>
      <c r="GQ21" s="75"/>
      <c r="GR21" s="75"/>
      <c r="GS21" s="75"/>
      <c r="GT21" s="75"/>
      <c r="GU21" s="75"/>
      <c r="GV21" s="75"/>
      <c r="GW21" s="75"/>
      <c r="GX21" s="75"/>
      <c r="GY21" s="75"/>
      <c r="GZ21" s="75"/>
      <c r="HA21" s="75"/>
      <c r="HB21" s="75"/>
      <c r="HC21" s="75"/>
      <c r="HD21" s="75"/>
      <c r="HE21" s="75"/>
      <c r="HF21" s="75"/>
      <c r="HG21" s="75"/>
      <c r="HH21" s="75"/>
      <c r="HI21" s="75"/>
      <c r="HJ21" s="75"/>
      <c r="HK21" s="75"/>
      <c r="HL21" s="75"/>
      <c r="HM21" s="75"/>
      <c r="HN21" s="75"/>
      <c r="HO21" s="75"/>
      <c r="HP21" s="75"/>
      <c r="HQ21" s="75"/>
      <c r="HR21" s="75"/>
      <c r="HS21" s="75"/>
      <c r="HT21" s="75"/>
      <c r="HU21" s="75"/>
      <c r="HV21" s="75"/>
      <c r="HW21" s="75"/>
      <c r="HX21" s="75"/>
      <c r="HY21" s="75"/>
      <c r="HZ21" s="75"/>
      <c r="IA21" s="75"/>
      <c r="IB21" s="75"/>
      <c r="IC21" s="75"/>
      <c r="ID21" s="75"/>
      <c r="IE21" s="75"/>
      <c r="IF21" s="75"/>
      <c r="IG21" s="75"/>
      <c r="IH21" s="75"/>
      <c r="II21" s="75"/>
      <c r="IJ21" s="75"/>
      <c r="IK21" s="75"/>
      <c r="IL21" s="75"/>
      <c r="IM21" s="75"/>
      <c r="IN21" s="75"/>
      <c r="IO21" s="75"/>
      <c r="IP21" s="75"/>
      <c r="IQ21" s="75"/>
      <c r="IR21" s="75"/>
      <c r="IS21" s="75"/>
      <c r="IT21" s="75"/>
      <c r="IU21" s="75"/>
      <c r="IV21" s="75"/>
      <c r="IW21" s="75"/>
      <c r="IX21" s="75"/>
      <c r="IY21" s="75"/>
      <c r="IZ21" s="75"/>
      <c r="JA21" s="75"/>
      <c r="JB21" s="75"/>
      <c r="JC21" s="75"/>
      <c r="JD21" s="75"/>
      <c r="JE21" s="75"/>
      <c r="JF21" s="75"/>
      <c r="JG21" s="75"/>
      <c r="JH21" s="75"/>
      <c r="JI21" s="75"/>
      <c r="JJ21" s="75"/>
      <c r="JK21" s="75"/>
      <c r="JL21" s="75"/>
      <c r="JM21" s="75"/>
      <c r="JN21" s="75"/>
      <c r="JO21" s="75"/>
      <c r="JP21" s="75"/>
      <c r="JQ21" s="75"/>
      <c r="JR21" s="75"/>
      <c r="JS21" s="75"/>
      <c r="JT21" s="75"/>
      <c r="JU21" s="75"/>
      <c r="JV21" s="75"/>
      <c r="JW21" s="75"/>
      <c r="JX21" s="75"/>
      <c r="JY21" s="75"/>
      <c r="JZ21" s="75"/>
      <c r="KA21" s="75"/>
      <c r="KB21" s="75"/>
      <c r="KC21" s="75"/>
      <c r="KD21" s="75"/>
      <c r="KE21" s="75"/>
      <c r="KF21" s="75"/>
      <c r="KG21" s="75"/>
      <c r="KH21" s="75"/>
      <c r="KI21" s="75"/>
      <c r="KJ21" s="75"/>
      <c r="KK21" s="75"/>
    </row>
    <row r="22" spans="1:297" ht="30" customHeight="1" x14ac:dyDescent="0.25">
      <c r="A22" s="33" t="s">
        <v>91</v>
      </c>
      <c r="B22" s="17" t="s">
        <v>92</v>
      </c>
      <c r="C22" s="4">
        <f>_xlfn.XLOOKUP(B22,Lookups!G:G,Lookups!H:H,"",0,1)</f>
        <v>10</v>
      </c>
      <c r="D22" s="4" t="str">
        <f>_xlfn.XLOOKUP(C22,[1]Sheet2!$A$2:$A$11,[1]Sheet2!$B$2:$B$11,"Not found")</f>
        <v>Suggested Learning</v>
      </c>
      <c r="E22" s="4"/>
      <c r="F22" s="13" t="str">
        <f>_xlfn.XLOOKUP(B22,'Holiday Inn Express'!B:B,'Holiday Inn Express'!F:F,"",0,1)</f>
        <v>Self-paced Online Learning.</v>
      </c>
      <c r="G22" s="13" t="s">
        <v>170</v>
      </c>
      <c r="H22" s="13" t="s">
        <v>170</v>
      </c>
      <c r="I22" s="13" t="s">
        <v>170</v>
      </c>
      <c r="J22" s="13" t="s">
        <v>170</v>
      </c>
      <c r="K22" s="13" t="s">
        <v>169</v>
      </c>
      <c r="L22" s="13" t="s">
        <v>169</v>
      </c>
      <c r="M22" s="13" t="s">
        <v>169</v>
      </c>
      <c r="N22" s="13" t="s">
        <v>169</v>
      </c>
      <c r="O22" s="13" t="s">
        <v>169</v>
      </c>
      <c r="P22" s="13" t="s">
        <v>169</v>
      </c>
      <c r="Q22" s="13" t="s">
        <v>169</v>
      </c>
      <c r="R22" s="13" t="s">
        <v>169</v>
      </c>
      <c r="S22" s="13" t="s">
        <v>169</v>
      </c>
      <c r="T22" s="79"/>
      <c r="U22" s="79"/>
      <c r="V22" s="79"/>
      <c r="W22" s="79"/>
      <c r="X22" s="79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5"/>
      <c r="BF22" s="75"/>
      <c r="BG22" s="75"/>
      <c r="BH22" s="75"/>
      <c r="BI22" s="75"/>
      <c r="BJ22" s="75"/>
      <c r="BK22" s="75"/>
      <c r="BL22" s="75"/>
      <c r="BM22" s="75"/>
      <c r="BN22" s="75"/>
      <c r="BO22" s="75"/>
      <c r="BP22" s="75"/>
      <c r="BQ22" s="75"/>
      <c r="BR22" s="75"/>
      <c r="BS22" s="75"/>
      <c r="BT22" s="75"/>
      <c r="BU22" s="75"/>
      <c r="BV22" s="75"/>
      <c r="BW22" s="75"/>
      <c r="BX22" s="75"/>
      <c r="BY22" s="75"/>
      <c r="BZ22" s="75"/>
      <c r="CA22" s="75"/>
      <c r="CB22" s="75"/>
      <c r="CC22" s="75"/>
      <c r="CD22" s="75"/>
      <c r="CE22" s="75"/>
      <c r="CF22" s="75"/>
      <c r="CG22" s="75"/>
      <c r="CH22" s="75"/>
      <c r="CI22" s="75"/>
      <c r="CJ22" s="75"/>
      <c r="CK22" s="75"/>
      <c r="CL22" s="75"/>
      <c r="CM22" s="75"/>
      <c r="CN22" s="75"/>
      <c r="CO22" s="75"/>
      <c r="CP22" s="75"/>
      <c r="CQ22" s="75"/>
      <c r="CR22" s="75"/>
      <c r="CS22" s="75"/>
      <c r="CT22" s="75"/>
      <c r="CU22" s="75"/>
      <c r="CV22" s="75"/>
      <c r="CW22" s="75"/>
      <c r="CX22" s="75"/>
      <c r="CY22" s="75"/>
      <c r="CZ22" s="75"/>
      <c r="DA22" s="75"/>
      <c r="DB22" s="75"/>
      <c r="DC22" s="75"/>
      <c r="DD22" s="75"/>
      <c r="DE22" s="75"/>
      <c r="DF22" s="75"/>
      <c r="DG22" s="75"/>
      <c r="DH22" s="75"/>
      <c r="DI22" s="75"/>
      <c r="DJ22" s="75"/>
      <c r="DK22" s="75"/>
      <c r="DL22" s="75"/>
      <c r="DM22" s="75"/>
      <c r="DN22" s="75"/>
      <c r="DO22" s="75"/>
      <c r="DP22" s="75"/>
      <c r="DQ22" s="75"/>
      <c r="DR22" s="75"/>
      <c r="DS22" s="75"/>
      <c r="DT22" s="75"/>
      <c r="DU22" s="75"/>
      <c r="DV22" s="75"/>
      <c r="DW22" s="75"/>
      <c r="DX22" s="75"/>
      <c r="DY22" s="75"/>
      <c r="DZ22" s="75"/>
      <c r="EA22" s="75"/>
      <c r="EB22" s="75"/>
      <c r="EC22" s="75"/>
      <c r="ED22" s="75"/>
      <c r="EE22" s="75"/>
      <c r="EF22" s="75"/>
      <c r="EG22" s="75"/>
      <c r="EH22" s="75"/>
      <c r="EI22" s="75"/>
      <c r="EJ22" s="75"/>
      <c r="EK22" s="75"/>
      <c r="EL22" s="75"/>
      <c r="EM22" s="75"/>
      <c r="EN22" s="75"/>
      <c r="EO22" s="75"/>
      <c r="EP22" s="75"/>
      <c r="EQ22" s="75"/>
      <c r="ER22" s="75"/>
      <c r="ES22" s="75"/>
      <c r="ET22" s="75"/>
      <c r="EU22" s="75"/>
      <c r="EV22" s="75"/>
      <c r="EW22" s="75"/>
      <c r="EX22" s="75"/>
      <c r="EY22" s="75"/>
      <c r="EZ22" s="75"/>
      <c r="FA22" s="75"/>
      <c r="FB22" s="75"/>
      <c r="FC22" s="75"/>
      <c r="FD22" s="75"/>
      <c r="FE22" s="75"/>
      <c r="FF22" s="75"/>
      <c r="FG22" s="75"/>
      <c r="FH22" s="75"/>
      <c r="FI22" s="75"/>
      <c r="FJ22" s="75"/>
      <c r="FK22" s="75"/>
      <c r="FL22" s="75"/>
      <c r="FM22" s="75"/>
      <c r="FN22" s="75"/>
      <c r="FO22" s="75"/>
      <c r="FP22" s="75"/>
      <c r="FQ22" s="75"/>
      <c r="FR22" s="75"/>
      <c r="FS22" s="75"/>
      <c r="FT22" s="75"/>
      <c r="FU22" s="75"/>
      <c r="FV22" s="75"/>
      <c r="FW22" s="75"/>
      <c r="FX22" s="75"/>
      <c r="FY22" s="75"/>
      <c r="FZ22" s="75"/>
      <c r="GA22" s="75"/>
      <c r="GB22" s="75"/>
      <c r="GC22" s="75"/>
      <c r="GD22" s="75"/>
      <c r="GE22" s="75"/>
      <c r="GF22" s="75"/>
      <c r="GG22" s="75"/>
      <c r="GH22" s="75"/>
      <c r="GI22" s="75"/>
      <c r="GJ22" s="75"/>
      <c r="GK22" s="75"/>
      <c r="GL22" s="75"/>
      <c r="GM22" s="75"/>
      <c r="GN22" s="75"/>
      <c r="GO22" s="75"/>
      <c r="GP22" s="75"/>
      <c r="GQ22" s="75"/>
      <c r="GR22" s="75"/>
      <c r="GS22" s="75"/>
      <c r="GT22" s="75"/>
      <c r="GU22" s="75"/>
      <c r="GV22" s="75"/>
      <c r="GW22" s="75"/>
      <c r="GX22" s="75"/>
      <c r="GY22" s="75"/>
      <c r="GZ22" s="75"/>
      <c r="HA22" s="75"/>
      <c r="HB22" s="75"/>
      <c r="HC22" s="75"/>
      <c r="HD22" s="75"/>
      <c r="HE22" s="75"/>
      <c r="HF22" s="75"/>
      <c r="HG22" s="75"/>
      <c r="HH22" s="75"/>
      <c r="HI22" s="75"/>
      <c r="HJ22" s="75"/>
      <c r="HK22" s="75"/>
      <c r="HL22" s="75"/>
      <c r="HM22" s="75"/>
      <c r="HN22" s="75"/>
      <c r="HO22" s="75"/>
      <c r="HP22" s="75"/>
      <c r="HQ22" s="75"/>
      <c r="HR22" s="75"/>
      <c r="HS22" s="75"/>
      <c r="HT22" s="75"/>
      <c r="HU22" s="75"/>
      <c r="HV22" s="75"/>
      <c r="HW22" s="75"/>
      <c r="HX22" s="75"/>
      <c r="HY22" s="75"/>
      <c r="HZ22" s="75"/>
      <c r="IA22" s="75"/>
      <c r="IB22" s="75"/>
      <c r="IC22" s="75"/>
      <c r="ID22" s="75"/>
      <c r="IE22" s="75"/>
      <c r="IF22" s="75"/>
      <c r="IG22" s="75"/>
      <c r="IH22" s="75"/>
      <c r="II22" s="75"/>
      <c r="IJ22" s="75"/>
      <c r="IK22" s="75"/>
      <c r="IL22" s="75"/>
      <c r="IM22" s="75"/>
      <c r="IN22" s="75"/>
      <c r="IO22" s="75"/>
      <c r="IP22" s="75"/>
      <c r="IQ22" s="75"/>
      <c r="IR22" s="75"/>
      <c r="IS22" s="75"/>
      <c r="IT22" s="75"/>
      <c r="IU22" s="75"/>
      <c r="IV22" s="75"/>
      <c r="IW22" s="75"/>
      <c r="IX22" s="75"/>
      <c r="IY22" s="75"/>
      <c r="IZ22" s="75"/>
      <c r="JA22" s="75"/>
      <c r="JB22" s="75"/>
      <c r="JC22" s="75"/>
      <c r="JD22" s="75"/>
      <c r="JE22" s="75"/>
      <c r="JF22" s="75"/>
      <c r="JG22" s="75"/>
      <c r="JH22" s="75"/>
      <c r="JI22" s="75"/>
      <c r="JJ22" s="75"/>
      <c r="JK22" s="75"/>
      <c r="JL22" s="75"/>
      <c r="JM22" s="75"/>
      <c r="JN22" s="75"/>
      <c r="JO22" s="75"/>
      <c r="JP22" s="75"/>
      <c r="JQ22" s="75"/>
      <c r="JR22" s="75"/>
      <c r="JS22" s="75"/>
      <c r="JT22" s="75"/>
      <c r="JU22" s="75"/>
      <c r="JV22" s="75"/>
      <c r="JW22" s="75"/>
      <c r="JX22" s="75"/>
      <c r="JY22" s="75"/>
      <c r="JZ22" s="75"/>
      <c r="KA22" s="75"/>
      <c r="KB22" s="75"/>
      <c r="KC22" s="75"/>
      <c r="KD22" s="75"/>
      <c r="KE22" s="75"/>
      <c r="KF22" s="75"/>
      <c r="KG22" s="75"/>
      <c r="KH22" s="75"/>
      <c r="KI22" s="75"/>
      <c r="KJ22" s="75"/>
      <c r="KK22" s="75"/>
    </row>
    <row r="23" spans="1:297" ht="30" customHeight="1" x14ac:dyDescent="0.25">
      <c r="A23" s="33" t="s">
        <v>93</v>
      </c>
      <c r="B23" s="17" t="s">
        <v>94</v>
      </c>
      <c r="C23" s="4">
        <f>_xlfn.XLOOKUP(B23,Lookups!G:G,Lookups!H:H,"",0,1)</f>
        <v>10</v>
      </c>
      <c r="D23" s="4" t="str">
        <f>_xlfn.XLOOKUP(C23,[1]Sheet2!$A$2:$A$11,[1]Sheet2!$B$2:$B$11,"Not found")</f>
        <v>Suggested Learning</v>
      </c>
      <c r="E23" s="4"/>
      <c r="F23" s="13" t="str">
        <f>_xlfn.XLOOKUP(B23,'Holiday Inn Express'!B:B,'Holiday Inn Express'!F:F,"",0,1)</f>
        <v>Self-paced Online Learning.</v>
      </c>
      <c r="G23" s="13" t="s">
        <v>170</v>
      </c>
      <c r="H23" s="13" t="s">
        <v>169</v>
      </c>
      <c r="I23" s="13" t="s">
        <v>169</v>
      </c>
      <c r="J23" s="13" t="s">
        <v>169</v>
      </c>
      <c r="K23" s="13" t="s">
        <v>169</v>
      </c>
      <c r="L23" s="13" t="s">
        <v>169</v>
      </c>
      <c r="M23" s="13" t="s">
        <v>169</v>
      </c>
      <c r="N23" s="13" t="s">
        <v>169</v>
      </c>
      <c r="O23" s="13" t="s">
        <v>169</v>
      </c>
      <c r="P23" s="13" t="s">
        <v>169</v>
      </c>
      <c r="Q23" s="13" t="s">
        <v>169</v>
      </c>
      <c r="R23" s="13" t="s">
        <v>169</v>
      </c>
      <c r="S23" s="13" t="s">
        <v>169</v>
      </c>
      <c r="T23" s="79"/>
      <c r="U23" s="79"/>
      <c r="V23" s="79"/>
      <c r="W23" s="79"/>
      <c r="X23" s="79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75"/>
      <c r="BR23" s="75"/>
      <c r="BS23" s="75"/>
      <c r="BT23" s="75"/>
      <c r="BU23" s="75"/>
      <c r="BV23" s="75"/>
      <c r="BW23" s="75"/>
      <c r="BX23" s="75"/>
      <c r="BY23" s="75"/>
      <c r="BZ23" s="75"/>
      <c r="CA23" s="75"/>
      <c r="CB23" s="75"/>
      <c r="CC23" s="75"/>
      <c r="CD23" s="75"/>
      <c r="CE23" s="75"/>
      <c r="CF23" s="75"/>
      <c r="CG23" s="75"/>
      <c r="CH23" s="75"/>
      <c r="CI23" s="75"/>
      <c r="CJ23" s="75"/>
      <c r="CK23" s="75"/>
      <c r="CL23" s="75"/>
      <c r="CM23" s="75"/>
      <c r="CN23" s="75"/>
      <c r="CO23" s="75"/>
      <c r="CP23" s="75"/>
      <c r="CQ23" s="75"/>
      <c r="CR23" s="75"/>
      <c r="CS23" s="75"/>
      <c r="CT23" s="75"/>
      <c r="CU23" s="75"/>
      <c r="CV23" s="75"/>
      <c r="CW23" s="75"/>
      <c r="CX23" s="75"/>
      <c r="CY23" s="75"/>
      <c r="CZ23" s="75"/>
      <c r="DA23" s="75"/>
      <c r="DB23" s="75"/>
      <c r="DC23" s="75"/>
      <c r="DD23" s="75"/>
      <c r="DE23" s="75"/>
      <c r="DF23" s="75"/>
      <c r="DG23" s="75"/>
      <c r="DH23" s="75"/>
      <c r="DI23" s="75"/>
      <c r="DJ23" s="75"/>
      <c r="DK23" s="75"/>
      <c r="DL23" s="75"/>
      <c r="DM23" s="75"/>
      <c r="DN23" s="75"/>
      <c r="DO23" s="75"/>
      <c r="DP23" s="75"/>
      <c r="DQ23" s="75"/>
      <c r="DR23" s="75"/>
      <c r="DS23" s="75"/>
      <c r="DT23" s="75"/>
      <c r="DU23" s="75"/>
      <c r="DV23" s="75"/>
      <c r="DW23" s="75"/>
      <c r="DX23" s="75"/>
      <c r="DY23" s="75"/>
      <c r="DZ23" s="75"/>
      <c r="EA23" s="75"/>
      <c r="EB23" s="75"/>
      <c r="EC23" s="75"/>
      <c r="ED23" s="75"/>
      <c r="EE23" s="75"/>
      <c r="EF23" s="75"/>
      <c r="EG23" s="75"/>
      <c r="EH23" s="75"/>
      <c r="EI23" s="75"/>
      <c r="EJ23" s="75"/>
      <c r="EK23" s="75"/>
      <c r="EL23" s="75"/>
      <c r="EM23" s="75"/>
      <c r="EN23" s="75"/>
      <c r="EO23" s="75"/>
      <c r="EP23" s="75"/>
      <c r="EQ23" s="75"/>
      <c r="ER23" s="75"/>
      <c r="ES23" s="75"/>
      <c r="ET23" s="75"/>
      <c r="EU23" s="75"/>
      <c r="EV23" s="75"/>
      <c r="EW23" s="75"/>
      <c r="EX23" s="75"/>
      <c r="EY23" s="75"/>
      <c r="EZ23" s="75"/>
      <c r="FA23" s="75"/>
      <c r="FB23" s="75"/>
      <c r="FC23" s="75"/>
      <c r="FD23" s="75"/>
      <c r="FE23" s="75"/>
      <c r="FF23" s="75"/>
      <c r="FG23" s="75"/>
      <c r="FH23" s="75"/>
      <c r="FI23" s="75"/>
      <c r="FJ23" s="75"/>
      <c r="FK23" s="75"/>
      <c r="FL23" s="75"/>
      <c r="FM23" s="75"/>
      <c r="FN23" s="75"/>
      <c r="FO23" s="75"/>
      <c r="FP23" s="75"/>
      <c r="FQ23" s="75"/>
      <c r="FR23" s="75"/>
      <c r="FS23" s="75"/>
      <c r="FT23" s="75"/>
      <c r="FU23" s="75"/>
      <c r="FV23" s="75"/>
      <c r="FW23" s="75"/>
      <c r="FX23" s="75"/>
      <c r="FY23" s="75"/>
      <c r="FZ23" s="75"/>
      <c r="GA23" s="75"/>
      <c r="GB23" s="75"/>
      <c r="GC23" s="75"/>
      <c r="GD23" s="75"/>
      <c r="GE23" s="75"/>
      <c r="GF23" s="75"/>
      <c r="GG23" s="75"/>
      <c r="GH23" s="75"/>
      <c r="GI23" s="75"/>
      <c r="GJ23" s="75"/>
      <c r="GK23" s="75"/>
      <c r="GL23" s="75"/>
      <c r="GM23" s="75"/>
      <c r="GN23" s="75"/>
      <c r="GO23" s="75"/>
      <c r="GP23" s="75"/>
      <c r="GQ23" s="75"/>
      <c r="GR23" s="75"/>
      <c r="GS23" s="75"/>
      <c r="GT23" s="75"/>
      <c r="GU23" s="75"/>
      <c r="GV23" s="75"/>
      <c r="GW23" s="75"/>
      <c r="GX23" s="75"/>
      <c r="GY23" s="75"/>
      <c r="GZ23" s="75"/>
      <c r="HA23" s="75"/>
      <c r="HB23" s="75"/>
      <c r="HC23" s="75"/>
      <c r="HD23" s="75"/>
      <c r="HE23" s="75"/>
      <c r="HF23" s="75"/>
      <c r="HG23" s="75"/>
      <c r="HH23" s="75"/>
      <c r="HI23" s="75"/>
      <c r="HJ23" s="75"/>
      <c r="HK23" s="75"/>
      <c r="HL23" s="75"/>
      <c r="HM23" s="75"/>
      <c r="HN23" s="75"/>
      <c r="HO23" s="75"/>
      <c r="HP23" s="75"/>
      <c r="HQ23" s="75"/>
      <c r="HR23" s="75"/>
      <c r="HS23" s="75"/>
      <c r="HT23" s="75"/>
      <c r="HU23" s="75"/>
      <c r="HV23" s="75"/>
      <c r="HW23" s="75"/>
      <c r="HX23" s="75"/>
      <c r="HY23" s="75"/>
      <c r="HZ23" s="75"/>
      <c r="IA23" s="75"/>
      <c r="IB23" s="75"/>
      <c r="IC23" s="75"/>
      <c r="ID23" s="75"/>
      <c r="IE23" s="75"/>
      <c r="IF23" s="75"/>
      <c r="IG23" s="75"/>
      <c r="IH23" s="75"/>
      <c r="II23" s="75"/>
      <c r="IJ23" s="75"/>
      <c r="IK23" s="75"/>
      <c r="IL23" s="75"/>
      <c r="IM23" s="75"/>
      <c r="IN23" s="75"/>
      <c r="IO23" s="75"/>
      <c r="IP23" s="75"/>
      <c r="IQ23" s="75"/>
      <c r="IR23" s="75"/>
      <c r="IS23" s="75"/>
      <c r="IT23" s="75"/>
      <c r="IU23" s="75"/>
      <c r="IV23" s="75"/>
      <c r="IW23" s="75"/>
      <c r="IX23" s="75"/>
      <c r="IY23" s="75"/>
      <c r="IZ23" s="75"/>
      <c r="JA23" s="75"/>
      <c r="JB23" s="75"/>
      <c r="JC23" s="75"/>
      <c r="JD23" s="75"/>
      <c r="JE23" s="75"/>
      <c r="JF23" s="75"/>
      <c r="JG23" s="75"/>
      <c r="JH23" s="75"/>
      <c r="JI23" s="75"/>
      <c r="JJ23" s="75"/>
      <c r="JK23" s="75"/>
      <c r="JL23" s="75"/>
      <c r="JM23" s="75"/>
      <c r="JN23" s="75"/>
      <c r="JO23" s="75"/>
      <c r="JP23" s="75"/>
      <c r="JQ23" s="75"/>
      <c r="JR23" s="75"/>
      <c r="JS23" s="75"/>
      <c r="JT23" s="75"/>
      <c r="JU23" s="75"/>
      <c r="JV23" s="75"/>
      <c r="JW23" s="75"/>
      <c r="JX23" s="75"/>
      <c r="JY23" s="75"/>
      <c r="JZ23" s="75"/>
      <c r="KA23" s="75"/>
      <c r="KB23" s="75"/>
      <c r="KC23" s="75"/>
      <c r="KD23" s="75"/>
      <c r="KE23" s="75"/>
      <c r="KF23" s="75"/>
      <c r="KG23" s="75"/>
      <c r="KH23" s="75"/>
      <c r="KI23" s="75"/>
      <c r="KJ23" s="75"/>
      <c r="KK23" s="75"/>
    </row>
    <row r="24" spans="1:297" ht="30" customHeight="1" x14ac:dyDescent="0.25">
      <c r="A24" s="33" t="s">
        <v>95</v>
      </c>
      <c r="B24" s="17" t="s">
        <v>96</v>
      </c>
      <c r="C24" s="4">
        <f>_xlfn.XLOOKUP(B24,Lookups!G:G,Lookups!H:H,"",0,1)</f>
        <v>10</v>
      </c>
      <c r="D24" s="4" t="str">
        <f>_xlfn.XLOOKUP(C24,[1]Sheet2!$A$2:$A$11,[1]Sheet2!$B$2:$B$11,"Not found")</f>
        <v>Suggested Learning</v>
      </c>
      <c r="E24" s="4"/>
      <c r="F24" s="13" t="str">
        <f>_xlfn.XLOOKUP(B24,'Holiday Inn Express'!B:B,'Holiday Inn Express'!F:F,"",0,1)</f>
        <v>Self-paced Online Learning.</v>
      </c>
      <c r="G24" s="13" t="s">
        <v>170</v>
      </c>
      <c r="H24" s="13" t="s">
        <v>169</v>
      </c>
      <c r="I24" s="13" t="s">
        <v>169</v>
      </c>
      <c r="J24" s="13" t="s">
        <v>169</v>
      </c>
      <c r="K24" s="13" t="s">
        <v>169</v>
      </c>
      <c r="L24" s="13" t="s">
        <v>169</v>
      </c>
      <c r="M24" s="13" t="s">
        <v>169</v>
      </c>
      <c r="N24" s="13" t="s">
        <v>169</v>
      </c>
      <c r="O24" s="13" t="s">
        <v>169</v>
      </c>
      <c r="P24" s="13" t="s">
        <v>169</v>
      </c>
      <c r="Q24" s="13" t="s">
        <v>169</v>
      </c>
      <c r="R24" s="13" t="s">
        <v>169</v>
      </c>
      <c r="S24" s="13" t="s">
        <v>169</v>
      </c>
      <c r="T24" s="79"/>
      <c r="U24" s="79"/>
      <c r="V24" s="79"/>
      <c r="W24" s="79"/>
      <c r="X24" s="79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5"/>
      <c r="BM24" s="75"/>
      <c r="BN24" s="75"/>
      <c r="BO24" s="75"/>
      <c r="BP24" s="75"/>
      <c r="BQ24" s="75"/>
      <c r="BR24" s="75"/>
      <c r="BS24" s="75"/>
      <c r="BT24" s="75"/>
      <c r="BU24" s="75"/>
      <c r="BV24" s="75"/>
      <c r="BW24" s="75"/>
      <c r="BX24" s="75"/>
      <c r="BY24" s="75"/>
      <c r="BZ24" s="75"/>
      <c r="CA24" s="75"/>
      <c r="CB24" s="75"/>
      <c r="CC24" s="75"/>
      <c r="CD24" s="75"/>
      <c r="CE24" s="75"/>
      <c r="CF24" s="75"/>
      <c r="CG24" s="75"/>
      <c r="CH24" s="75"/>
      <c r="CI24" s="75"/>
      <c r="CJ24" s="75"/>
      <c r="CK24" s="75"/>
      <c r="CL24" s="75"/>
      <c r="CM24" s="75"/>
      <c r="CN24" s="75"/>
      <c r="CO24" s="75"/>
      <c r="CP24" s="75"/>
      <c r="CQ24" s="75"/>
      <c r="CR24" s="75"/>
      <c r="CS24" s="75"/>
      <c r="CT24" s="75"/>
      <c r="CU24" s="75"/>
      <c r="CV24" s="75"/>
      <c r="CW24" s="75"/>
      <c r="CX24" s="75"/>
      <c r="CY24" s="75"/>
      <c r="CZ24" s="75"/>
      <c r="DA24" s="75"/>
      <c r="DB24" s="75"/>
      <c r="DC24" s="75"/>
      <c r="DD24" s="75"/>
      <c r="DE24" s="75"/>
      <c r="DF24" s="75"/>
      <c r="DG24" s="75"/>
      <c r="DH24" s="75"/>
      <c r="DI24" s="75"/>
      <c r="DJ24" s="75"/>
      <c r="DK24" s="75"/>
      <c r="DL24" s="75"/>
      <c r="DM24" s="75"/>
      <c r="DN24" s="75"/>
      <c r="DO24" s="75"/>
      <c r="DP24" s="75"/>
      <c r="DQ24" s="75"/>
      <c r="DR24" s="75"/>
      <c r="DS24" s="75"/>
      <c r="DT24" s="75"/>
      <c r="DU24" s="75"/>
      <c r="DV24" s="75"/>
      <c r="DW24" s="75"/>
      <c r="DX24" s="75"/>
      <c r="DY24" s="75"/>
      <c r="DZ24" s="75"/>
      <c r="EA24" s="75"/>
      <c r="EB24" s="75"/>
      <c r="EC24" s="75"/>
      <c r="ED24" s="75"/>
      <c r="EE24" s="75"/>
      <c r="EF24" s="75"/>
      <c r="EG24" s="75"/>
      <c r="EH24" s="75"/>
      <c r="EI24" s="75"/>
      <c r="EJ24" s="75"/>
      <c r="EK24" s="75"/>
      <c r="EL24" s="75"/>
      <c r="EM24" s="75"/>
      <c r="EN24" s="75"/>
      <c r="EO24" s="75"/>
      <c r="EP24" s="75"/>
      <c r="EQ24" s="75"/>
      <c r="ER24" s="75"/>
      <c r="ES24" s="75"/>
      <c r="ET24" s="75"/>
      <c r="EU24" s="75"/>
      <c r="EV24" s="75"/>
      <c r="EW24" s="75"/>
      <c r="EX24" s="75"/>
      <c r="EY24" s="75"/>
      <c r="EZ24" s="75"/>
      <c r="FA24" s="75"/>
      <c r="FB24" s="75"/>
      <c r="FC24" s="75"/>
      <c r="FD24" s="75"/>
      <c r="FE24" s="75"/>
      <c r="FF24" s="75"/>
      <c r="FG24" s="75"/>
      <c r="FH24" s="75"/>
      <c r="FI24" s="75"/>
      <c r="FJ24" s="75"/>
      <c r="FK24" s="75"/>
      <c r="FL24" s="75"/>
      <c r="FM24" s="75"/>
      <c r="FN24" s="75"/>
      <c r="FO24" s="75"/>
      <c r="FP24" s="75"/>
      <c r="FQ24" s="75"/>
      <c r="FR24" s="75"/>
      <c r="FS24" s="75"/>
      <c r="FT24" s="75"/>
      <c r="FU24" s="75"/>
      <c r="FV24" s="75"/>
      <c r="FW24" s="75"/>
      <c r="FX24" s="75"/>
      <c r="FY24" s="75"/>
      <c r="FZ24" s="75"/>
      <c r="GA24" s="75"/>
      <c r="GB24" s="75"/>
      <c r="GC24" s="75"/>
      <c r="GD24" s="75"/>
      <c r="GE24" s="75"/>
      <c r="GF24" s="75"/>
      <c r="GG24" s="75"/>
      <c r="GH24" s="75"/>
      <c r="GI24" s="75"/>
      <c r="GJ24" s="75"/>
      <c r="GK24" s="75"/>
      <c r="GL24" s="75"/>
      <c r="GM24" s="75"/>
      <c r="GN24" s="75"/>
      <c r="GO24" s="75"/>
      <c r="GP24" s="75"/>
      <c r="GQ24" s="75"/>
      <c r="GR24" s="75"/>
      <c r="GS24" s="75"/>
      <c r="GT24" s="75"/>
      <c r="GU24" s="75"/>
      <c r="GV24" s="75"/>
      <c r="GW24" s="75"/>
      <c r="GX24" s="75"/>
      <c r="GY24" s="75"/>
      <c r="GZ24" s="75"/>
      <c r="HA24" s="75"/>
      <c r="HB24" s="75"/>
      <c r="HC24" s="75"/>
      <c r="HD24" s="75"/>
      <c r="HE24" s="75"/>
      <c r="HF24" s="75"/>
      <c r="HG24" s="75"/>
      <c r="HH24" s="75"/>
      <c r="HI24" s="75"/>
      <c r="HJ24" s="75"/>
      <c r="HK24" s="75"/>
      <c r="HL24" s="75"/>
      <c r="HM24" s="75"/>
      <c r="HN24" s="75"/>
      <c r="HO24" s="75"/>
      <c r="HP24" s="75"/>
      <c r="HQ24" s="75"/>
      <c r="HR24" s="75"/>
      <c r="HS24" s="75"/>
      <c r="HT24" s="75"/>
      <c r="HU24" s="75"/>
      <c r="HV24" s="75"/>
      <c r="HW24" s="75"/>
      <c r="HX24" s="75"/>
      <c r="HY24" s="75"/>
      <c r="HZ24" s="75"/>
      <c r="IA24" s="75"/>
      <c r="IB24" s="75"/>
      <c r="IC24" s="75"/>
      <c r="ID24" s="75"/>
      <c r="IE24" s="75"/>
      <c r="IF24" s="75"/>
      <c r="IG24" s="75"/>
      <c r="IH24" s="75"/>
      <c r="II24" s="75"/>
      <c r="IJ24" s="75"/>
      <c r="IK24" s="75"/>
      <c r="IL24" s="75"/>
      <c r="IM24" s="75"/>
      <c r="IN24" s="75"/>
      <c r="IO24" s="75"/>
      <c r="IP24" s="75"/>
      <c r="IQ24" s="75"/>
      <c r="IR24" s="75"/>
      <c r="IS24" s="75"/>
      <c r="IT24" s="75"/>
      <c r="IU24" s="75"/>
      <c r="IV24" s="75"/>
      <c r="IW24" s="75"/>
      <c r="IX24" s="75"/>
      <c r="IY24" s="75"/>
      <c r="IZ24" s="75"/>
      <c r="JA24" s="75"/>
      <c r="JB24" s="75"/>
      <c r="JC24" s="75"/>
      <c r="JD24" s="75"/>
      <c r="JE24" s="75"/>
      <c r="JF24" s="75"/>
      <c r="JG24" s="75"/>
      <c r="JH24" s="75"/>
      <c r="JI24" s="75"/>
      <c r="JJ24" s="75"/>
      <c r="JK24" s="75"/>
      <c r="JL24" s="75"/>
      <c r="JM24" s="75"/>
      <c r="JN24" s="75"/>
      <c r="JO24" s="75"/>
      <c r="JP24" s="75"/>
      <c r="JQ24" s="75"/>
      <c r="JR24" s="75"/>
      <c r="JS24" s="75"/>
      <c r="JT24" s="75"/>
      <c r="JU24" s="75"/>
      <c r="JV24" s="75"/>
      <c r="JW24" s="75"/>
      <c r="JX24" s="75"/>
      <c r="JY24" s="75"/>
      <c r="JZ24" s="75"/>
      <c r="KA24" s="75"/>
      <c r="KB24" s="75"/>
      <c r="KC24" s="75"/>
      <c r="KD24" s="75"/>
      <c r="KE24" s="75"/>
      <c r="KF24" s="75"/>
      <c r="KG24" s="75"/>
      <c r="KH24" s="75"/>
      <c r="KI24" s="75"/>
      <c r="KJ24" s="75"/>
      <c r="KK24" s="75"/>
    </row>
    <row r="25" spans="1:297" ht="30" customHeight="1" x14ac:dyDescent="0.25">
      <c r="A25" s="33" t="s">
        <v>97</v>
      </c>
      <c r="B25" s="17" t="s">
        <v>98</v>
      </c>
      <c r="C25" s="4">
        <f>_xlfn.XLOOKUP(B25,Lookups!G:G,Lookups!H:H,"",0,1)</f>
        <v>10</v>
      </c>
      <c r="D25" s="4" t="str">
        <f>_xlfn.XLOOKUP(C25,[1]Sheet2!$A$2:$A$11,[1]Sheet2!$B$2:$B$11,"Not found")</f>
        <v>Suggested Learning</v>
      </c>
      <c r="E25" s="4"/>
      <c r="F25" s="13" t="str">
        <f>_xlfn.XLOOKUP(B25,'Holiday Inn Express'!B:B,'Holiday Inn Express'!F:F,"",0,1)</f>
        <v>Self-paced Online Learning.</v>
      </c>
      <c r="G25" s="13" t="s">
        <v>170</v>
      </c>
      <c r="H25" s="13" t="s">
        <v>169</v>
      </c>
      <c r="I25" s="13" t="s">
        <v>169</v>
      </c>
      <c r="J25" s="13" t="s">
        <v>169</v>
      </c>
      <c r="K25" s="13" t="s">
        <v>169</v>
      </c>
      <c r="L25" s="13" t="s">
        <v>169</v>
      </c>
      <c r="M25" s="13" t="s">
        <v>169</v>
      </c>
      <c r="N25" s="13" t="s">
        <v>169</v>
      </c>
      <c r="O25" s="13" t="s">
        <v>169</v>
      </c>
      <c r="P25" s="13" t="s">
        <v>169</v>
      </c>
      <c r="Q25" s="13" t="s">
        <v>169</v>
      </c>
      <c r="R25" s="13" t="s">
        <v>169</v>
      </c>
      <c r="S25" s="13" t="s">
        <v>169</v>
      </c>
      <c r="T25" s="79"/>
      <c r="U25" s="79"/>
      <c r="V25" s="79"/>
      <c r="W25" s="79"/>
      <c r="X25" s="79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  <c r="BM25" s="75"/>
      <c r="BN25" s="75"/>
      <c r="BO25" s="75"/>
      <c r="BP25" s="75"/>
      <c r="BQ25" s="75"/>
      <c r="BR25" s="75"/>
      <c r="BS25" s="75"/>
      <c r="BT25" s="75"/>
      <c r="BU25" s="75"/>
      <c r="BV25" s="75"/>
      <c r="BW25" s="75"/>
      <c r="BX25" s="75"/>
      <c r="BY25" s="75"/>
      <c r="BZ25" s="75"/>
      <c r="CA25" s="75"/>
      <c r="CB25" s="75"/>
      <c r="CC25" s="75"/>
      <c r="CD25" s="75"/>
      <c r="CE25" s="75"/>
      <c r="CF25" s="75"/>
      <c r="CG25" s="75"/>
      <c r="CH25" s="75"/>
      <c r="CI25" s="75"/>
      <c r="CJ25" s="75"/>
      <c r="CK25" s="75"/>
      <c r="CL25" s="75"/>
      <c r="CM25" s="75"/>
      <c r="CN25" s="75"/>
      <c r="CO25" s="75"/>
      <c r="CP25" s="75"/>
      <c r="CQ25" s="75"/>
      <c r="CR25" s="75"/>
      <c r="CS25" s="75"/>
      <c r="CT25" s="75"/>
      <c r="CU25" s="75"/>
      <c r="CV25" s="75"/>
      <c r="CW25" s="75"/>
      <c r="CX25" s="75"/>
      <c r="CY25" s="75"/>
      <c r="CZ25" s="75"/>
      <c r="DA25" s="75"/>
      <c r="DB25" s="75"/>
      <c r="DC25" s="75"/>
      <c r="DD25" s="75"/>
      <c r="DE25" s="75"/>
      <c r="DF25" s="75"/>
      <c r="DG25" s="75"/>
      <c r="DH25" s="75"/>
      <c r="DI25" s="75"/>
      <c r="DJ25" s="75"/>
      <c r="DK25" s="75"/>
      <c r="DL25" s="75"/>
      <c r="DM25" s="75"/>
      <c r="DN25" s="75"/>
      <c r="DO25" s="75"/>
      <c r="DP25" s="75"/>
      <c r="DQ25" s="75"/>
      <c r="DR25" s="75"/>
      <c r="DS25" s="75"/>
      <c r="DT25" s="75"/>
      <c r="DU25" s="75"/>
      <c r="DV25" s="75"/>
      <c r="DW25" s="75"/>
      <c r="DX25" s="75"/>
      <c r="DY25" s="75"/>
      <c r="DZ25" s="75"/>
      <c r="EA25" s="75"/>
      <c r="EB25" s="75"/>
      <c r="EC25" s="75"/>
      <c r="ED25" s="75"/>
      <c r="EE25" s="75"/>
      <c r="EF25" s="75"/>
      <c r="EG25" s="75"/>
      <c r="EH25" s="75"/>
      <c r="EI25" s="75"/>
      <c r="EJ25" s="75"/>
      <c r="EK25" s="75"/>
      <c r="EL25" s="75"/>
      <c r="EM25" s="75"/>
      <c r="EN25" s="75"/>
      <c r="EO25" s="75"/>
      <c r="EP25" s="75"/>
      <c r="EQ25" s="75"/>
      <c r="ER25" s="75"/>
      <c r="ES25" s="75"/>
      <c r="ET25" s="75"/>
      <c r="EU25" s="75"/>
      <c r="EV25" s="75"/>
      <c r="EW25" s="75"/>
      <c r="EX25" s="75"/>
      <c r="EY25" s="75"/>
      <c r="EZ25" s="75"/>
      <c r="FA25" s="75"/>
      <c r="FB25" s="75"/>
      <c r="FC25" s="75"/>
      <c r="FD25" s="75"/>
      <c r="FE25" s="75"/>
      <c r="FF25" s="75"/>
      <c r="FG25" s="75"/>
      <c r="FH25" s="75"/>
      <c r="FI25" s="75"/>
      <c r="FJ25" s="75"/>
      <c r="FK25" s="75"/>
      <c r="FL25" s="75"/>
      <c r="FM25" s="75"/>
      <c r="FN25" s="75"/>
      <c r="FO25" s="75"/>
      <c r="FP25" s="75"/>
      <c r="FQ25" s="75"/>
      <c r="FR25" s="75"/>
      <c r="FS25" s="75"/>
      <c r="FT25" s="75"/>
      <c r="FU25" s="75"/>
      <c r="FV25" s="75"/>
      <c r="FW25" s="75"/>
      <c r="FX25" s="75"/>
      <c r="FY25" s="75"/>
      <c r="FZ25" s="75"/>
      <c r="GA25" s="75"/>
      <c r="GB25" s="75"/>
      <c r="GC25" s="75"/>
      <c r="GD25" s="75"/>
      <c r="GE25" s="75"/>
      <c r="GF25" s="75"/>
      <c r="GG25" s="75"/>
      <c r="GH25" s="75"/>
      <c r="GI25" s="75"/>
      <c r="GJ25" s="75"/>
      <c r="GK25" s="75"/>
      <c r="GL25" s="75"/>
      <c r="GM25" s="75"/>
      <c r="GN25" s="75"/>
      <c r="GO25" s="75"/>
      <c r="GP25" s="75"/>
      <c r="GQ25" s="75"/>
      <c r="GR25" s="75"/>
      <c r="GS25" s="75"/>
      <c r="GT25" s="75"/>
      <c r="GU25" s="75"/>
      <c r="GV25" s="75"/>
      <c r="GW25" s="75"/>
      <c r="GX25" s="75"/>
      <c r="GY25" s="75"/>
      <c r="GZ25" s="75"/>
      <c r="HA25" s="75"/>
      <c r="HB25" s="75"/>
      <c r="HC25" s="75"/>
      <c r="HD25" s="75"/>
      <c r="HE25" s="75"/>
      <c r="HF25" s="75"/>
      <c r="HG25" s="75"/>
      <c r="HH25" s="75"/>
      <c r="HI25" s="75"/>
      <c r="HJ25" s="75"/>
      <c r="HK25" s="75"/>
      <c r="HL25" s="75"/>
      <c r="HM25" s="75"/>
      <c r="HN25" s="75"/>
      <c r="HO25" s="75"/>
      <c r="HP25" s="75"/>
      <c r="HQ25" s="75"/>
      <c r="HR25" s="75"/>
      <c r="HS25" s="75"/>
      <c r="HT25" s="75"/>
      <c r="HU25" s="75"/>
      <c r="HV25" s="75"/>
      <c r="HW25" s="75"/>
      <c r="HX25" s="75"/>
      <c r="HY25" s="75"/>
      <c r="HZ25" s="75"/>
      <c r="IA25" s="75"/>
      <c r="IB25" s="75"/>
      <c r="IC25" s="75"/>
      <c r="ID25" s="75"/>
      <c r="IE25" s="75"/>
      <c r="IF25" s="75"/>
      <c r="IG25" s="75"/>
      <c r="IH25" s="75"/>
      <c r="II25" s="75"/>
      <c r="IJ25" s="75"/>
      <c r="IK25" s="75"/>
      <c r="IL25" s="75"/>
      <c r="IM25" s="75"/>
      <c r="IN25" s="75"/>
      <c r="IO25" s="75"/>
      <c r="IP25" s="75"/>
      <c r="IQ25" s="75"/>
      <c r="IR25" s="75"/>
      <c r="IS25" s="75"/>
      <c r="IT25" s="75"/>
      <c r="IU25" s="75"/>
      <c r="IV25" s="75"/>
      <c r="IW25" s="75"/>
      <c r="IX25" s="75"/>
      <c r="IY25" s="75"/>
      <c r="IZ25" s="75"/>
      <c r="JA25" s="75"/>
      <c r="JB25" s="75"/>
      <c r="JC25" s="75"/>
      <c r="JD25" s="75"/>
      <c r="JE25" s="75"/>
      <c r="JF25" s="75"/>
      <c r="JG25" s="75"/>
      <c r="JH25" s="75"/>
      <c r="JI25" s="75"/>
      <c r="JJ25" s="75"/>
      <c r="JK25" s="75"/>
      <c r="JL25" s="75"/>
      <c r="JM25" s="75"/>
      <c r="JN25" s="75"/>
      <c r="JO25" s="75"/>
      <c r="JP25" s="75"/>
      <c r="JQ25" s="75"/>
      <c r="JR25" s="75"/>
      <c r="JS25" s="75"/>
      <c r="JT25" s="75"/>
      <c r="JU25" s="75"/>
      <c r="JV25" s="75"/>
      <c r="JW25" s="75"/>
      <c r="JX25" s="75"/>
      <c r="JY25" s="75"/>
      <c r="JZ25" s="75"/>
      <c r="KA25" s="75"/>
      <c r="KB25" s="75"/>
      <c r="KC25" s="75"/>
      <c r="KD25" s="75"/>
      <c r="KE25" s="75"/>
      <c r="KF25" s="75"/>
      <c r="KG25" s="75"/>
      <c r="KH25" s="75"/>
      <c r="KI25" s="75"/>
      <c r="KJ25" s="75"/>
      <c r="KK25" s="75"/>
    </row>
    <row r="26" spans="1:297" ht="30" customHeight="1" x14ac:dyDescent="0.25">
      <c r="A26" s="33" t="s">
        <v>99</v>
      </c>
      <c r="B26" s="17" t="s">
        <v>100</v>
      </c>
      <c r="C26" s="4">
        <f>_xlfn.XLOOKUP(B26,Lookups!G:G,Lookups!H:H,"",0,1)</f>
        <v>10</v>
      </c>
      <c r="D26" s="4" t="str">
        <f>_xlfn.XLOOKUP(C26,[1]Sheet2!$A$2:$A$11,[1]Sheet2!$B$2:$B$11,"Not found")</f>
        <v>Suggested Learning</v>
      </c>
      <c r="E26" s="4"/>
      <c r="F26" s="13" t="str">
        <f>_xlfn.XLOOKUP(B26,'Holiday Inn Express'!B:B,'Holiday Inn Express'!F:F,"",0,1)</f>
        <v>Self-paced Online Learning.</v>
      </c>
      <c r="G26" s="13" t="s">
        <v>170</v>
      </c>
      <c r="H26" s="13" t="s">
        <v>169</v>
      </c>
      <c r="I26" s="13" t="s">
        <v>169</v>
      </c>
      <c r="J26" s="13" t="s">
        <v>169</v>
      </c>
      <c r="K26" s="13" t="s">
        <v>169</v>
      </c>
      <c r="L26" s="13" t="s">
        <v>169</v>
      </c>
      <c r="M26" s="13" t="s">
        <v>169</v>
      </c>
      <c r="N26" s="13" t="s">
        <v>169</v>
      </c>
      <c r="O26" s="13" t="s">
        <v>169</v>
      </c>
      <c r="P26" s="13" t="s">
        <v>169</v>
      </c>
      <c r="Q26" s="13" t="s">
        <v>169</v>
      </c>
      <c r="R26" s="13" t="s">
        <v>169</v>
      </c>
      <c r="S26" s="13" t="s">
        <v>169</v>
      </c>
      <c r="T26" s="79"/>
      <c r="U26" s="79"/>
      <c r="V26" s="79"/>
      <c r="W26" s="79"/>
      <c r="X26" s="79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75"/>
      <c r="BU26" s="75"/>
      <c r="BV26" s="75"/>
      <c r="BW26" s="75"/>
      <c r="BX26" s="75"/>
      <c r="BY26" s="75"/>
      <c r="BZ26" s="75"/>
      <c r="CA26" s="75"/>
      <c r="CB26" s="75"/>
      <c r="CC26" s="75"/>
      <c r="CD26" s="75"/>
      <c r="CE26" s="75"/>
      <c r="CF26" s="75"/>
      <c r="CG26" s="75"/>
      <c r="CH26" s="75"/>
      <c r="CI26" s="75"/>
      <c r="CJ26" s="75"/>
      <c r="CK26" s="75"/>
      <c r="CL26" s="75"/>
      <c r="CM26" s="75"/>
      <c r="CN26" s="75"/>
      <c r="CO26" s="75"/>
      <c r="CP26" s="75"/>
      <c r="CQ26" s="75"/>
      <c r="CR26" s="75"/>
      <c r="CS26" s="75"/>
      <c r="CT26" s="75"/>
      <c r="CU26" s="75"/>
      <c r="CV26" s="75"/>
      <c r="CW26" s="75"/>
      <c r="CX26" s="75"/>
      <c r="CY26" s="75"/>
      <c r="CZ26" s="75"/>
      <c r="DA26" s="75"/>
      <c r="DB26" s="75"/>
      <c r="DC26" s="75"/>
      <c r="DD26" s="75"/>
      <c r="DE26" s="75"/>
      <c r="DF26" s="75"/>
      <c r="DG26" s="75"/>
      <c r="DH26" s="75"/>
      <c r="DI26" s="75"/>
      <c r="DJ26" s="75"/>
      <c r="DK26" s="75"/>
      <c r="DL26" s="75"/>
      <c r="DM26" s="75"/>
      <c r="DN26" s="75"/>
      <c r="DO26" s="75"/>
      <c r="DP26" s="75"/>
      <c r="DQ26" s="75"/>
      <c r="DR26" s="75"/>
      <c r="DS26" s="75"/>
      <c r="DT26" s="75"/>
      <c r="DU26" s="75"/>
      <c r="DV26" s="75"/>
      <c r="DW26" s="75"/>
      <c r="DX26" s="75"/>
      <c r="DY26" s="75"/>
      <c r="DZ26" s="75"/>
      <c r="EA26" s="75"/>
      <c r="EB26" s="75"/>
      <c r="EC26" s="75"/>
      <c r="ED26" s="75"/>
      <c r="EE26" s="75"/>
      <c r="EF26" s="75"/>
      <c r="EG26" s="75"/>
      <c r="EH26" s="75"/>
      <c r="EI26" s="75"/>
      <c r="EJ26" s="75"/>
      <c r="EK26" s="75"/>
      <c r="EL26" s="75"/>
      <c r="EM26" s="75"/>
      <c r="EN26" s="75"/>
      <c r="EO26" s="75"/>
      <c r="EP26" s="75"/>
      <c r="EQ26" s="75"/>
      <c r="ER26" s="75"/>
      <c r="ES26" s="75"/>
      <c r="ET26" s="75"/>
      <c r="EU26" s="75"/>
      <c r="EV26" s="75"/>
      <c r="EW26" s="75"/>
      <c r="EX26" s="75"/>
      <c r="EY26" s="75"/>
      <c r="EZ26" s="75"/>
      <c r="FA26" s="75"/>
      <c r="FB26" s="75"/>
      <c r="FC26" s="75"/>
      <c r="FD26" s="75"/>
      <c r="FE26" s="75"/>
      <c r="FF26" s="75"/>
      <c r="FG26" s="75"/>
      <c r="FH26" s="75"/>
      <c r="FI26" s="75"/>
      <c r="FJ26" s="75"/>
      <c r="FK26" s="75"/>
      <c r="FL26" s="75"/>
      <c r="FM26" s="75"/>
      <c r="FN26" s="75"/>
      <c r="FO26" s="75"/>
      <c r="FP26" s="75"/>
      <c r="FQ26" s="75"/>
      <c r="FR26" s="75"/>
      <c r="FS26" s="75"/>
      <c r="FT26" s="75"/>
      <c r="FU26" s="75"/>
      <c r="FV26" s="75"/>
      <c r="FW26" s="75"/>
      <c r="FX26" s="75"/>
      <c r="FY26" s="75"/>
      <c r="FZ26" s="75"/>
      <c r="GA26" s="75"/>
      <c r="GB26" s="75"/>
      <c r="GC26" s="75"/>
      <c r="GD26" s="75"/>
      <c r="GE26" s="75"/>
      <c r="GF26" s="75"/>
      <c r="GG26" s="75"/>
      <c r="GH26" s="75"/>
      <c r="GI26" s="75"/>
      <c r="GJ26" s="75"/>
      <c r="GK26" s="75"/>
      <c r="GL26" s="75"/>
      <c r="GM26" s="75"/>
      <c r="GN26" s="75"/>
      <c r="GO26" s="75"/>
      <c r="GP26" s="75"/>
      <c r="GQ26" s="75"/>
      <c r="GR26" s="75"/>
      <c r="GS26" s="75"/>
      <c r="GT26" s="75"/>
      <c r="GU26" s="75"/>
      <c r="GV26" s="75"/>
      <c r="GW26" s="75"/>
      <c r="GX26" s="75"/>
      <c r="GY26" s="75"/>
      <c r="GZ26" s="75"/>
      <c r="HA26" s="75"/>
      <c r="HB26" s="75"/>
      <c r="HC26" s="75"/>
      <c r="HD26" s="75"/>
      <c r="HE26" s="75"/>
      <c r="HF26" s="75"/>
      <c r="HG26" s="75"/>
      <c r="HH26" s="75"/>
      <c r="HI26" s="75"/>
      <c r="HJ26" s="75"/>
      <c r="HK26" s="75"/>
      <c r="HL26" s="75"/>
      <c r="HM26" s="75"/>
      <c r="HN26" s="75"/>
      <c r="HO26" s="75"/>
      <c r="HP26" s="75"/>
      <c r="HQ26" s="75"/>
      <c r="HR26" s="75"/>
      <c r="HS26" s="75"/>
      <c r="HT26" s="75"/>
      <c r="HU26" s="75"/>
      <c r="HV26" s="75"/>
      <c r="HW26" s="75"/>
      <c r="HX26" s="75"/>
      <c r="HY26" s="75"/>
      <c r="HZ26" s="75"/>
      <c r="IA26" s="75"/>
      <c r="IB26" s="75"/>
      <c r="IC26" s="75"/>
      <c r="ID26" s="75"/>
      <c r="IE26" s="75"/>
      <c r="IF26" s="75"/>
      <c r="IG26" s="75"/>
      <c r="IH26" s="75"/>
      <c r="II26" s="75"/>
      <c r="IJ26" s="75"/>
      <c r="IK26" s="75"/>
      <c r="IL26" s="75"/>
      <c r="IM26" s="75"/>
      <c r="IN26" s="75"/>
      <c r="IO26" s="75"/>
      <c r="IP26" s="75"/>
      <c r="IQ26" s="75"/>
      <c r="IR26" s="75"/>
      <c r="IS26" s="75"/>
      <c r="IT26" s="75"/>
      <c r="IU26" s="75"/>
      <c r="IV26" s="75"/>
      <c r="IW26" s="75"/>
      <c r="IX26" s="75"/>
      <c r="IY26" s="75"/>
      <c r="IZ26" s="75"/>
      <c r="JA26" s="75"/>
      <c r="JB26" s="75"/>
      <c r="JC26" s="75"/>
      <c r="JD26" s="75"/>
      <c r="JE26" s="75"/>
      <c r="JF26" s="75"/>
      <c r="JG26" s="75"/>
      <c r="JH26" s="75"/>
      <c r="JI26" s="75"/>
      <c r="JJ26" s="75"/>
      <c r="JK26" s="75"/>
      <c r="JL26" s="75"/>
      <c r="JM26" s="75"/>
      <c r="JN26" s="75"/>
      <c r="JO26" s="75"/>
      <c r="JP26" s="75"/>
      <c r="JQ26" s="75"/>
      <c r="JR26" s="75"/>
      <c r="JS26" s="75"/>
      <c r="JT26" s="75"/>
      <c r="JU26" s="75"/>
      <c r="JV26" s="75"/>
      <c r="JW26" s="75"/>
      <c r="JX26" s="75"/>
      <c r="JY26" s="75"/>
      <c r="JZ26" s="75"/>
      <c r="KA26" s="75"/>
      <c r="KB26" s="75"/>
      <c r="KC26" s="75"/>
      <c r="KD26" s="75"/>
      <c r="KE26" s="75"/>
      <c r="KF26" s="75"/>
      <c r="KG26" s="75"/>
      <c r="KH26" s="75"/>
      <c r="KI26" s="75"/>
      <c r="KJ26" s="75"/>
      <c r="KK26" s="75"/>
    </row>
    <row r="27" spans="1:297" ht="30" customHeight="1" x14ac:dyDescent="0.25">
      <c r="A27" s="33" t="s">
        <v>101</v>
      </c>
      <c r="B27" s="17" t="s">
        <v>102</v>
      </c>
      <c r="C27" s="4">
        <f>_xlfn.XLOOKUP(B27,Lookups!G:G,Lookups!H:H,"",0,1)</f>
        <v>10</v>
      </c>
      <c r="D27" s="4" t="str">
        <f>_xlfn.XLOOKUP(C27,[1]Sheet2!$A$2:$A$11,[1]Sheet2!$B$2:$B$11,"Not found")</f>
        <v>Suggested Learning</v>
      </c>
      <c r="E27" s="4"/>
      <c r="F27" s="13" t="str">
        <f>_xlfn.XLOOKUP(B27,'Holiday Inn Express'!B:B,'Holiday Inn Express'!F:F,"",0,1)</f>
        <v>Self-paced Online Learning.</v>
      </c>
      <c r="G27" s="13" t="s">
        <v>170</v>
      </c>
      <c r="H27" s="13" t="s">
        <v>170</v>
      </c>
      <c r="I27" s="13" t="s">
        <v>170</v>
      </c>
      <c r="J27" s="13" t="s">
        <v>170</v>
      </c>
      <c r="K27" s="13" t="s">
        <v>169</v>
      </c>
      <c r="L27" s="13" t="s">
        <v>169</v>
      </c>
      <c r="M27" s="13" t="s">
        <v>169</v>
      </c>
      <c r="N27" s="13" t="s">
        <v>169</v>
      </c>
      <c r="O27" s="13" t="s">
        <v>169</v>
      </c>
      <c r="P27" s="13" t="s">
        <v>169</v>
      </c>
      <c r="Q27" s="13" t="s">
        <v>169</v>
      </c>
      <c r="R27" s="13" t="s">
        <v>169</v>
      </c>
      <c r="S27" s="13" t="s">
        <v>169</v>
      </c>
      <c r="T27" s="79"/>
      <c r="U27" s="79"/>
      <c r="V27" s="79"/>
      <c r="W27" s="79"/>
      <c r="X27" s="79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5"/>
      <c r="BV27" s="75"/>
      <c r="BW27" s="75"/>
      <c r="BX27" s="75"/>
      <c r="BY27" s="75"/>
      <c r="BZ27" s="75"/>
      <c r="CA27" s="75"/>
      <c r="CB27" s="75"/>
      <c r="CC27" s="75"/>
      <c r="CD27" s="75"/>
      <c r="CE27" s="75"/>
      <c r="CF27" s="75"/>
      <c r="CG27" s="75"/>
      <c r="CH27" s="75"/>
      <c r="CI27" s="75"/>
      <c r="CJ27" s="75"/>
      <c r="CK27" s="75"/>
      <c r="CL27" s="75"/>
      <c r="CM27" s="75"/>
      <c r="CN27" s="75"/>
      <c r="CO27" s="75"/>
      <c r="CP27" s="75"/>
      <c r="CQ27" s="75"/>
      <c r="CR27" s="75"/>
      <c r="CS27" s="75"/>
      <c r="CT27" s="75"/>
      <c r="CU27" s="75"/>
      <c r="CV27" s="75"/>
      <c r="CW27" s="75"/>
      <c r="CX27" s="75"/>
      <c r="CY27" s="75"/>
      <c r="CZ27" s="75"/>
      <c r="DA27" s="75"/>
      <c r="DB27" s="75"/>
      <c r="DC27" s="75"/>
      <c r="DD27" s="75"/>
      <c r="DE27" s="75"/>
      <c r="DF27" s="75"/>
      <c r="DG27" s="75"/>
      <c r="DH27" s="75"/>
      <c r="DI27" s="75"/>
      <c r="DJ27" s="75"/>
      <c r="DK27" s="75"/>
      <c r="DL27" s="75"/>
      <c r="DM27" s="75"/>
      <c r="DN27" s="75"/>
      <c r="DO27" s="75"/>
      <c r="DP27" s="75"/>
      <c r="DQ27" s="75"/>
      <c r="DR27" s="75"/>
      <c r="DS27" s="75"/>
      <c r="DT27" s="75"/>
      <c r="DU27" s="75"/>
      <c r="DV27" s="75"/>
      <c r="DW27" s="75"/>
      <c r="DX27" s="75"/>
      <c r="DY27" s="75"/>
      <c r="DZ27" s="75"/>
      <c r="EA27" s="75"/>
      <c r="EB27" s="75"/>
      <c r="EC27" s="75"/>
      <c r="ED27" s="75"/>
      <c r="EE27" s="75"/>
      <c r="EF27" s="75"/>
      <c r="EG27" s="75"/>
      <c r="EH27" s="75"/>
      <c r="EI27" s="75"/>
      <c r="EJ27" s="75"/>
      <c r="EK27" s="75"/>
      <c r="EL27" s="75"/>
      <c r="EM27" s="75"/>
      <c r="EN27" s="75"/>
      <c r="EO27" s="75"/>
      <c r="EP27" s="75"/>
      <c r="EQ27" s="75"/>
      <c r="ER27" s="75"/>
      <c r="ES27" s="75"/>
      <c r="ET27" s="75"/>
      <c r="EU27" s="75"/>
      <c r="EV27" s="75"/>
      <c r="EW27" s="75"/>
      <c r="EX27" s="75"/>
      <c r="EY27" s="75"/>
      <c r="EZ27" s="75"/>
      <c r="FA27" s="75"/>
      <c r="FB27" s="75"/>
      <c r="FC27" s="75"/>
      <c r="FD27" s="75"/>
      <c r="FE27" s="75"/>
      <c r="FF27" s="75"/>
      <c r="FG27" s="75"/>
      <c r="FH27" s="75"/>
      <c r="FI27" s="75"/>
      <c r="FJ27" s="75"/>
      <c r="FK27" s="75"/>
      <c r="FL27" s="75"/>
      <c r="FM27" s="75"/>
      <c r="FN27" s="75"/>
      <c r="FO27" s="75"/>
      <c r="FP27" s="75"/>
      <c r="FQ27" s="75"/>
      <c r="FR27" s="75"/>
      <c r="FS27" s="75"/>
      <c r="FT27" s="75"/>
      <c r="FU27" s="75"/>
      <c r="FV27" s="75"/>
      <c r="FW27" s="75"/>
      <c r="FX27" s="75"/>
      <c r="FY27" s="75"/>
      <c r="FZ27" s="75"/>
      <c r="GA27" s="75"/>
      <c r="GB27" s="75"/>
      <c r="GC27" s="75"/>
      <c r="GD27" s="75"/>
      <c r="GE27" s="75"/>
      <c r="GF27" s="75"/>
      <c r="GG27" s="75"/>
      <c r="GH27" s="75"/>
      <c r="GI27" s="75"/>
      <c r="GJ27" s="75"/>
      <c r="GK27" s="75"/>
      <c r="GL27" s="75"/>
      <c r="GM27" s="75"/>
      <c r="GN27" s="75"/>
      <c r="GO27" s="75"/>
      <c r="GP27" s="75"/>
      <c r="GQ27" s="75"/>
      <c r="GR27" s="75"/>
      <c r="GS27" s="75"/>
      <c r="GT27" s="75"/>
      <c r="GU27" s="75"/>
      <c r="GV27" s="75"/>
      <c r="GW27" s="75"/>
      <c r="GX27" s="75"/>
      <c r="GY27" s="75"/>
      <c r="GZ27" s="75"/>
      <c r="HA27" s="75"/>
      <c r="HB27" s="75"/>
      <c r="HC27" s="75"/>
      <c r="HD27" s="75"/>
      <c r="HE27" s="75"/>
      <c r="HF27" s="75"/>
      <c r="HG27" s="75"/>
      <c r="HH27" s="75"/>
      <c r="HI27" s="75"/>
      <c r="HJ27" s="75"/>
      <c r="HK27" s="75"/>
      <c r="HL27" s="75"/>
      <c r="HM27" s="75"/>
      <c r="HN27" s="75"/>
      <c r="HO27" s="75"/>
      <c r="HP27" s="75"/>
      <c r="HQ27" s="75"/>
      <c r="HR27" s="75"/>
      <c r="HS27" s="75"/>
      <c r="HT27" s="75"/>
      <c r="HU27" s="75"/>
      <c r="HV27" s="75"/>
      <c r="HW27" s="75"/>
      <c r="HX27" s="75"/>
      <c r="HY27" s="75"/>
      <c r="HZ27" s="75"/>
      <c r="IA27" s="75"/>
      <c r="IB27" s="75"/>
      <c r="IC27" s="75"/>
      <c r="ID27" s="75"/>
      <c r="IE27" s="75"/>
      <c r="IF27" s="75"/>
      <c r="IG27" s="75"/>
      <c r="IH27" s="75"/>
      <c r="II27" s="75"/>
      <c r="IJ27" s="75"/>
      <c r="IK27" s="75"/>
      <c r="IL27" s="75"/>
      <c r="IM27" s="75"/>
      <c r="IN27" s="75"/>
      <c r="IO27" s="75"/>
      <c r="IP27" s="75"/>
      <c r="IQ27" s="75"/>
      <c r="IR27" s="75"/>
      <c r="IS27" s="75"/>
      <c r="IT27" s="75"/>
      <c r="IU27" s="75"/>
      <c r="IV27" s="75"/>
      <c r="IW27" s="75"/>
      <c r="IX27" s="75"/>
      <c r="IY27" s="75"/>
      <c r="IZ27" s="75"/>
      <c r="JA27" s="75"/>
      <c r="JB27" s="75"/>
      <c r="JC27" s="75"/>
      <c r="JD27" s="75"/>
      <c r="JE27" s="75"/>
      <c r="JF27" s="75"/>
      <c r="JG27" s="75"/>
      <c r="JH27" s="75"/>
      <c r="JI27" s="75"/>
      <c r="JJ27" s="75"/>
      <c r="JK27" s="75"/>
      <c r="JL27" s="75"/>
      <c r="JM27" s="75"/>
      <c r="JN27" s="75"/>
      <c r="JO27" s="75"/>
      <c r="JP27" s="75"/>
      <c r="JQ27" s="75"/>
      <c r="JR27" s="75"/>
      <c r="JS27" s="75"/>
      <c r="JT27" s="75"/>
      <c r="JU27" s="75"/>
      <c r="JV27" s="75"/>
      <c r="JW27" s="75"/>
      <c r="JX27" s="75"/>
      <c r="JY27" s="75"/>
      <c r="JZ27" s="75"/>
      <c r="KA27" s="75"/>
      <c r="KB27" s="75"/>
      <c r="KC27" s="75"/>
      <c r="KD27" s="75"/>
      <c r="KE27" s="75"/>
      <c r="KF27" s="75"/>
      <c r="KG27" s="75"/>
      <c r="KH27" s="75"/>
      <c r="KI27" s="75"/>
      <c r="KJ27" s="75"/>
      <c r="KK27" s="75"/>
    </row>
    <row r="28" spans="1:297" ht="30" customHeight="1" x14ac:dyDescent="0.25">
      <c r="A28" s="33" t="s">
        <v>103</v>
      </c>
      <c r="B28" s="17" t="s">
        <v>104</v>
      </c>
      <c r="C28" s="4">
        <f>_xlfn.XLOOKUP(B28,Lookups!G:G,Lookups!H:H,"",0,1)</f>
        <v>10</v>
      </c>
      <c r="D28" s="4" t="str">
        <f>_xlfn.XLOOKUP(C28,[1]Sheet2!$A$2:$A$11,[1]Sheet2!$B$2:$B$11,"Not found")</f>
        <v>Suggested Learning</v>
      </c>
      <c r="E28" s="4"/>
      <c r="F28" s="13" t="str">
        <f>_xlfn.XLOOKUP(B28,'Holiday Inn Express'!B:B,'Holiday Inn Express'!F:F,"",0,1)</f>
        <v>Self-paced Online Learning (5 Minutes).</v>
      </c>
      <c r="G28" s="13" t="s">
        <v>170</v>
      </c>
      <c r="H28" s="13" t="s">
        <v>170</v>
      </c>
      <c r="I28" s="13" t="s">
        <v>170</v>
      </c>
      <c r="J28" s="13" t="s">
        <v>170</v>
      </c>
      <c r="K28" s="13" t="s">
        <v>169</v>
      </c>
      <c r="L28" s="13" t="s">
        <v>169</v>
      </c>
      <c r="M28" s="13" t="s">
        <v>169</v>
      </c>
      <c r="N28" s="13" t="s">
        <v>169</v>
      </c>
      <c r="O28" s="13" t="s">
        <v>169</v>
      </c>
      <c r="P28" s="13" t="s">
        <v>169</v>
      </c>
      <c r="Q28" s="13" t="s">
        <v>169</v>
      </c>
      <c r="R28" s="13" t="s">
        <v>169</v>
      </c>
      <c r="S28" s="13" t="s">
        <v>169</v>
      </c>
      <c r="T28" s="79"/>
      <c r="U28" s="79"/>
      <c r="V28" s="79"/>
      <c r="W28" s="79"/>
      <c r="X28" s="79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  <c r="BV28" s="75"/>
      <c r="BW28" s="75"/>
      <c r="BX28" s="75"/>
      <c r="BY28" s="75"/>
      <c r="BZ28" s="75"/>
      <c r="CA28" s="75"/>
      <c r="CB28" s="75"/>
      <c r="CC28" s="75"/>
      <c r="CD28" s="75"/>
      <c r="CE28" s="75"/>
      <c r="CF28" s="75"/>
      <c r="CG28" s="75"/>
      <c r="CH28" s="75"/>
      <c r="CI28" s="75"/>
      <c r="CJ28" s="75"/>
      <c r="CK28" s="75"/>
      <c r="CL28" s="75"/>
      <c r="CM28" s="75"/>
      <c r="CN28" s="75"/>
      <c r="CO28" s="75"/>
      <c r="CP28" s="75"/>
      <c r="CQ28" s="75"/>
      <c r="CR28" s="75"/>
      <c r="CS28" s="75"/>
      <c r="CT28" s="75"/>
      <c r="CU28" s="75"/>
      <c r="CV28" s="75"/>
      <c r="CW28" s="75"/>
      <c r="CX28" s="75"/>
      <c r="CY28" s="75"/>
      <c r="CZ28" s="75"/>
      <c r="DA28" s="75"/>
      <c r="DB28" s="75"/>
      <c r="DC28" s="75"/>
      <c r="DD28" s="75"/>
      <c r="DE28" s="75"/>
      <c r="DF28" s="75"/>
      <c r="DG28" s="75"/>
      <c r="DH28" s="75"/>
      <c r="DI28" s="75"/>
      <c r="DJ28" s="75"/>
      <c r="DK28" s="75"/>
      <c r="DL28" s="75"/>
      <c r="DM28" s="75"/>
      <c r="DN28" s="75"/>
      <c r="DO28" s="75"/>
      <c r="DP28" s="75"/>
      <c r="DQ28" s="75"/>
      <c r="DR28" s="75"/>
      <c r="DS28" s="75"/>
      <c r="DT28" s="75"/>
      <c r="DU28" s="75"/>
      <c r="DV28" s="75"/>
      <c r="DW28" s="75"/>
      <c r="DX28" s="75"/>
      <c r="DY28" s="75"/>
      <c r="DZ28" s="75"/>
      <c r="EA28" s="75"/>
      <c r="EB28" s="75"/>
      <c r="EC28" s="75"/>
      <c r="ED28" s="75"/>
      <c r="EE28" s="75"/>
      <c r="EF28" s="75"/>
      <c r="EG28" s="75"/>
      <c r="EH28" s="75"/>
      <c r="EI28" s="75"/>
      <c r="EJ28" s="75"/>
      <c r="EK28" s="75"/>
      <c r="EL28" s="75"/>
      <c r="EM28" s="75"/>
      <c r="EN28" s="75"/>
      <c r="EO28" s="75"/>
      <c r="EP28" s="75"/>
      <c r="EQ28" s="75"/>
      <c r="ER28" s="75"/>
      <c r="ES28" s="75"/>
      <c r="ET28" s="75"/>
      <c r="EU28" s="75"/>
      <c r="EV28" s="75"/>
      <c r="EW28" s="75"/>
      <c r="EX28" s="75"/>
      <c r="EY28" s="75"/>
      <c r="EZ28" s="75"/>
      <c r="FA28" s="75"/>
      <c r="FB28" s="75"/>
      <c r="FC28" s="75"/>
      <c r="FD28" s="75"/>
      <c r="FE28" s="75"/>
      <c r="FF28" s="75"/>
      <c r="FG28" s="75"/>
      <c r="FH28" s="75"/>
      <c r="FI28" s="75"/>
      <c r="FJ28" s="75"/>
      <c r="FK28" s="75"/>
      <c r="FL28" s="75"/>
      <c r="FM28" s="75"/>
      <c r="FN28" s="75"/>
      <c r="FO28" s="75"/>
      <c r="FP28" s="75"/>
      <c r="FQ28" s="75"/>
      <c r="FR28" s="75"/>
      <c r="FS28" s="75"/>
      <c r="FT28" s="75"/>
      <c r="FU28" s="75"/>
      <c r="FV28" s="75"/>
      <c r="FW28" s="75"/>
      <c r="FX28" s="75"/>
      <c r="FY28" s="75"/>
      <c r="FZ28" s="75"/>
      <c r="GA28" s="75"/>
      <c r="GB28" s="75"/>
      <c r="GC28" s="75"/>
      <c r="GD28" s="75"/>
      <c r="GE28" s="75"/>
      <c r="GF28" s="75"/>
      <c r="GG28" s="75"/>
      <c r="GH28" s="75"/>
      <c r="GI28" s="75"/>
      <c r="GJ28" s="75"/>
      <c r="GK28" s="75"/>
      <c r="GL28" s="75"/>
      <c r="GM28" s="75"/>
      <c r="GN28" s="75"/>
      <c r="GO28" s="75"/>
      <c r="GP28" s="75"/>
      <c r="GQ28" s="75"/>
      <c r="GR28" s="75"/>
      <c r="GS28" s="75"/>
      <c r="GT28" s="75"/>
      <c r="GU28" s="75"/>
      <c r="GV28" s="75"/>
      <c r="GW28" s="75"/>
      <c r="GX28" s="75"/>
      <c r="GY28" s="75"/>
      <c r="GZ28" s="75"/>
      <c r="HA28" s="75"/>
      <c r="HB28" s="75"/>
      <c r="HC28" s="75"/>
      <c r="HD28" s="75"/>
      <c r="HE28" s="75"/>
      <c r="HF28" s="75"/>
      <c r="HG28" s="75"/>
      <c r="HH28" s="75"/>
      <c r="HI28" s="75"/>
      <c r="HJ28" s="75"/>
      <c r="HK28" s="75"/>
      <c r="HL28" s="75"/>
      <c r="HM28" s="75"/>
      <c r="HN28" s="75"/>
      <c r="HO28" s="75"/>
      <c r="HP28" s="75"/>
      <c r="HQ28" s="75"/>
      <c r="HR28" s="75"/>
      <c r="HS28" s="75"/>
      <c r="HT28" s="75"/>
      <c r="HU28" s="75"/>
      <c r="HV28" s="75"/>
      <c r="HW28" s="75"/>
      <c r="HX28" s="75"/>
      <c r="HY28" s="75"/>
      <c r="HZ28" s="75"/>
      <c r="IA28" s="75"/>
      <c r="IB28" s="75"/>
      <c r="IC28" s="75"/>
      <c r="ID28" s="75"/>
      <c r="IE28" s="75"/>
      <c r="IF28" s="75"/>
      <c r="IG28" s="75"/>
      <c r="IH28" s="75"/>
      <c r="II28" s="75"/>
      <c r="IJ28" s="75"/>
      <c r="IK28" s="75"/>
      <c r="IL28" s="75"/>
      <c r="IM28" s="75"/>
      <c r="IN28" s="75"/>
      <c r="IO28" s="75"/>
      <c r="IP28" s="75"/>
      <c r="IQ28" s="75"/>
      <c r="IR28" s="75"/>
      <c r="IS28" s="75"/>
      <c r="IT28" s="75"/>
      <c r="IU28" s="75"/>
      <c r="IV28" s="75"/>
      <c r="IW28" s="75"/>
      <c r="IX28" s="75"/>
      <c r="IY28" s="75"/>
      <c r="IZ28" s="75"/>
      <c r="JA28" s="75"/>
      <c r="JB28" s="75"/>
      <c r="JC28" s="75"/>
      <c r="JD28" s="75"/>
      <c r="JE28" s="75"/>
      <c r="JF28" s="75"/>
      <c r="JG28" s="75"/>
      <c r="JH28" s="75"/>
      <c r="JI28" s="75"/>
      <c r="JJ28" s="75"/>
      <c r="JK28" s="75"/>
      <c r="JL28" s="75"/>
      <c r="JM28" s="75"/>
      <c r="JN28" s="75"/>
      <c r="JO28" s="75"/>
      <c r="JP28" s="75"/>
      <c r="JQ28" s="75"/>
      <c r="JR28" s="75"/>
      <c r="JS28" s="75"/>
      <c r="JT28" s="75"/>
      <c r="JU28" s="75"/>
      <c r="JV28" s="75"/>
      <c r="JW28" s="75"/>
      <c r="JX28" s="75"/>
      <c r="JY28" s="75"/>
      <c r="JZ28" s="75"/>
      <c r="KA28" s="75"/>
      <c r="KB28" s="75"/>
      <c r="KC28" s="75"/>
      <c r="KD28" s="75"/>
      <c r="KE28" s="75"/>
      <c r="KF28" s="75"/>
      <c r="KG28" s="75"/>
      <c r="KH28" s="75"/>
      <c r="KI28" s="75"/>
      <c r="KJ28" s="75"/>
      <c r="KK28" s="75"/>
    </row>
    <row r="29" spans="1:297" ht="30" customHeight="1" x14ac:dyDescent="0.25">
      <c r="A29" s="33" t="s">
        <v>105</v>
      </c>
      <c r="B29" s="17" t="s">
        <v>106</v>
      </c>
      <c r="C29" s="4">
        <f>_xlfn.XLOOKUP(B29,Lookups!G:G,Lookups!H:H,"",0,1)</f>
        <v>10</v>
      </c>
      <c r="D29" s="4" t="str">
        <f>_xlfn.XLOOKUP(C29,[1]Sheet2!$A$2:$A$11,[1]Sheet2!$B$2:$B$11,"Not found")</f>
        <v>Suggested Learning</v>
      </c>
      <c r="E29" s="4"/>
      <c r="F29" s="13" t="str">
        <f>_xlfn.XLOOKUP(B29,'Holiday Inn Express'!B:B,'Holiday Inn Express'!F:F,"",0,1)</f>
        <v>Self-paced Online Learning (25 Minutes).</v>
      </c>
      <c r="G29" s="13" t="s">
        <v>170</v>
      </c>
      <c r="H29" s="13" t="s">
        <v>170</v>
      </c>
      <c r="I29" s="13" t="s">
        <v>169</v>
      </c>
      <c r="J29" s="13" t="s">
        <v>169</v>
      </c>
      <c r="K29" s="13" t="s">
        <v>169</v>
      </c>
      <c r="L29" s="13" t="s">
        <v>169</v>
      </c>
      <c r="M29" s="13" t="s">
        <v>169</v>
      </c>
      <c r="N29" s="13" t="s">
        <v>169</v>
      </c>
      <c r="O29" s="13" t="s">
        <v>169</v>
      </c>
      <c r="P29" s="13" t="s">
        <v>169</v>
      </c>
      <c r="Q29" s="13" t="s">
        <v>169</v>
      </c>
      <c r="R29" s="13" t="s">
        <v>169</v>
      </c>
      <c r="S29" s="13" t="s">
        <v>169</v>
      </c>
      <c r="T29" s="79"/>
      <c r="U29" s="79"/>
      <c r="V29" s="79"/>
      <c r="W29" s="79"/>
      <c r="X29" s="79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75"/>
      <c r="BU29" s="75"/>
      <c r="BV29" s="75"/>
      <c r="BW29" s="75"/>
      <c r="BX29" s="75"/>
      <c r="BY29" s="75"/>
      <c r="BZ29" s="75"/>
      <c r="CA29" s="75"/>
      <c r="CB29" s="75"/>
      <c r="CC29" s="75"/>
      <c r="CD29" s="75"/>
      <c r="CE29" s="75"/>
      <c r="CF29" s="75"/>
      <c r="CG29" s="75"/>
      <c r="CH29" s="75"/>
      <c r="CI29" s="75"/>
      <c r="CJ29" s="75"/>
      <c r="CK29" s="75"/>
      <c r="CL29" s="75"/>
      <c r="CM29" s="75"/>
      <c r="CN29" s="75"/>
      <c r="CO29" s="75"/>
      <c r="CP29" s="75"/>
      <c r="CQ29" s="75"/>
      <c r="CR29" s="75"/>
      <c r="CS29" s="75"/>
      <c r="CT29" s="75"/>
      <c r="CU29" s="75"/>
      <c r="CV29" s="75"/>
      <c r="CW29" s="75"/>
      <c r="CX29" s="75"/>
      <c r="CY29" s="75"/>
      <c r="CZ29" s="75"/>
      <c r="DA29" s="75"/>
      <c r="DB29" s="75"/>
      <c r="DC29" s="75"/>
      <c r="DD29" s="75"/>
      <c r="DE29" s="75"/>
      <c r="DF29" s="75"/>
      <c r="DG29" s="75"/>
      <c r="DH29" s="75"/>
      <c r="DI29" s="75"/>
      <c r="DJ29" s="75"/>
      <c r="DK29" s="75"/>
      <c r="DL29" s="75"/>
      <c r="DM29" s="75"/>
      <c r="DN29" s="75"/>
      <c r="DO29" s="75"/>
      <c r="DP29" s="75"/>
      <c r="DQ29" s="75"/>
      <c r="DR29" s="75"/>
      <c r="DS29" s="75"/>
      <c r="DT29" s="75"/>
      <c r="DU29" s="75"/>
      <c r="DV29" s="75"/>
      <c r="DW29" s="75"/>
      <c r="DX29" s="75"/>
      <c r="DY29" s="75"/>
      <c r="DZ29" s="75"/>
      <c r="EA29" s="75"/>
      <c r="EB29" s="75"/>
      <c r="EC29" s="75"/>
      <c r="ED29" s="75"/>
      <c r="EE29" s="75"/>
      <c r="EF29" s="75"/>
      <c r="EG29" s="75"/>
      <c r="EH29" s="75"/>
      <c r="EI29" s="75"/>
      <c r="EJ29" s="75"/>
      <c r="EK29" s="75"/>
      <c r="EL29" s="75"/>
      <c r="EM29" s="75"/>
      <c r="EN29" s="75"/>
      <c r="EO29" s="75"/>
      <c r="EP29" s="75"/>
      <c r="EQ29" s="75"/>
      <c r="ER29" s="75"/>
      <c r="ES29" s="75"/>
      <c r="ET29" s="75"/>
      <c r="EU29" s="75"/>
      <c r="EV29" s="75"/>
      <c r="EW29" s="75"/>
      <c r="EX29" s="75"/>
      <c r="EY29" s="75"/>
      <c r="EZ29" s="75"/>
      <c r="FA29" s="75"/>
      <c r="FB29" s="75"/>
      <c r="FC29" s="75"/>
      <c r="FD29" s="75"/>
      <c r="FE29" s="75"/>
      <c r="FF29" s="75"/>
      <c r="FG29" s="75"/>
      <c r="FH29" s="75"/>
      <c r="FI29" s="75"/>
      <c r="FJ29" s="75"/>
      <c r="FK29" s="75"/>
      <c r="FL29" s="75"/>
      <c r="FM29" s="75"/>
      <c r="FN29" s="75"/>
      <c r="FO29" s="75"/>
      <c r="FP29" s="75"/>
      <c r="FQ29" s="75"/>
      <c r="FR29" s="75"/>
      <c r="FS29" s="75"/>
      <c r="FT29" s="75"/>
      <c r="FU29" s="75"/>
      <c r="FV29" s="75"/>
      <c r="FW29" s="75"/>
      <c r="FX29" s="75"/>
      <c r="FY29" s="75"/>
      <c r="FZ29" s="75"/>
      <c r="GA29" s="75"/>
      <c r="GB29" s="75"/>
      <c r="GC29" s="75"/>
      <c r="GD29" s="75"/>
      <c r="GE29" s="75"/>
      <c r="GF29" s="75"/>
      <c r="GG29" s="75"/>
      <c r="GH29" s="75"/>
      <c r="GI29" s="75"/>
      <c r="GJ29" s="75"/>
      <c r="GK29" s="75"/>
      <c r="GL29" s="75"/>
      <c r="GM29" s="75"/>
      <c r="GN29" s="75"/>
      <c r="GO29" s="75"/>
      <c r="GP29" s="75"/>
      <c r="GQ29" s="75"/>
      <c r="GR29" s="75"/>
      <c r="GS29" s="75"/>
      <c r="GT29" s="75"/>
      <c r="GU29" s="75"/>
      <c r="GV29" s="75"/>
      <c r="GW29" s="75"/>
      <c r="GX29" s="75"/>
      <c r="GY29" s="75"/>
      <c r="GZ29" s="75"/>
      <c r="HA29" s="75"/>
      <c r="HB29" s="75"/>
      <c r="HC29" s="75"/>
      <c r="HD29" s="75"/>
      <c r="HE29" s="75"/>
      <c r="HF29" s="75"/>
      <c r="HG29" s="75"/>
      <c r="HH29" s="75"/>
      <c r="HI29" s="75"/>
      <c r="HJ29" s="75"/>
      <c r="HK29" s="75"/>
      <c r="HL29" s="75"/>
      <c r="HM29" s="75"/>
      <c r="HN29" s="75"/>
      <c r="HO29" s="75"/>
      <c r="HP29" s="75"/>
      <c r="HQ29" s="75"/>
      <c r="HR29" s="75"/>
      <c r="HS29" s="75"/>
      <c r="HT29" s="75"/>
      <c r="HU29" s="75"/>
      <c r="HV29" s="75"/>
      <c r="HW29" s="75"/>
      <c r="HX29" s="75"/>
      <c r="HY29" s="75"/>
      <c r="HZ29" s="75"/>
      <c r="IA29" s="75"/>
      <c r="IB29" s="75"/>
      <c r="IC29" s="75"/>
      <c r="ID29" s="75"/>
      <c r="IE29" s="75"/>
      <c r="IF29" s="75"/>
      <c r="IG29" s="75"/>
      <c r="IH29" s="75"/>
      <c r="II29" s="75"/>
      <c r="IJ29" s="75"/>
      <c r="IK29" s="75"/>
      <c r="IL29" s="75"/>
      <c r="IM29" s="75"/>
      <c r="IN29" s="75"/>
      <c r="IO29" s="75"/>
      <c r="IP29" s="75"/>
      <c r="IQ29" s="75"/>
      <c r="IR29" s="75"/>
      <c r="IS29" s="75"/>
      <c r="IT29" s="75"/>
      <c r="IU29" s="75"/>
      <c r="IV29" s="75"/>
      <c r="IW29" s="75"/>
      <c r="IX29" s="75"/>
      <c r="IY29" s="75"/>
      <c r="IZ29" s="75"/>
      <c r="JA29" s="75"/>
      <c r="JB29" s="75"/>
      <c r="JC29" s="75"/>
      <c r="JD29" s="75"/>
      <c r="JE29" s="75"/>
      <c r="JF29" s="75"/>
      <c r="JG29" s="75"/>
      <c r="JH29" s="75"/>
      <c r="JI29" s="75"/>
      <c r="JJ29" s="75"/>
      <c r="JK29" s="75"/>
      <c r="JL29" s="75"/>
      <c r="JM29" s="75"/>
      <c r="JN29" s="75"/>
      <c r="JO29" s="75"/>
      <c r="JP29" s="75"/>
      <c r="JQ29" s="75"/>
      <c r="JR29" s="75"/>
      <c r="JS29" s="75"/>
      <c r="JT29" s="75"/>
      <c r="JU29" s="75"/>
      <c r="JV29" s="75"/>
      <c r="JW29" s="75"/>
      <c r="JX29" s="75"/>
      <c r="JY29" s="75"/>
      <c r="JZ29" s="75"/>
      <c r="KA29" s="75"/>
      <c r="KB29" s="75"/>
      <c r="KC29" s="75"/>
      <c r="KD29" s="75"/>
      <c r="KE29" s="75"/>
      <c r="KF29" s="75"/>
      <c r="KG29" s="75"/>
      <c r="KH29" s="75"/>
      <c r="KI29" s="75"/>
      <c r="KJ29" s="75"/>
      <c r="KK29" s="75"/>
    </row>
    <row r="30" spans="1:297" ht="30" customHeight="1" x14ac:dyDescent="0.25">
      <c r="A30" s="49" t="s">
        <v>250</v>
      </c>
      <c r="B30" s="32" t="s">
        <v>251</v>
      </c>
      <c r="C30" s="4">
        <v>5</v>
      </c>
      <c r="D30" s="4" t="s">
        <v>176</v>
      </c>
      <c r="E30" s="4"/>
      <c r="F30" s="13" t="str">
        <f>_xlfn.XLOOKUP(B30,'Holiday Inn Express'!B:B,'Holiday Inn Express'!F:F,"",0,1)</f>
        <v>Self-paced Online Learning (1 Hour 30 Minutes).</v>
      </c>
      <c r="G30" s="13" t="s">
        <v>170</v>
      </c>
      <c r="H30" s="13" t="s">
        <v>170</v>
      </c>
      <c r="I30" s="13" t="s">
        <v>169</v>
      </c>
      <c r="J30" s="13" t="s">
        <v>169</v>
      </c>
      <c r="K30" s="13" t="s">
        <v>169</v>
      </c>
      <c r="L30" s="13" t="s">
        <v>169</v>
      </c>
      <c r="M30" s="13" t="s">
        <v>169</v>
      </c>
      <c r="N30" s="13" t="s">
        <v>169</v>
      </c>
      <c r="O30" s="13" t="s">
        <v>169</v>
      </c>
      <c r="P30" s="13" t="s">
        <v>169</v>
      </c>
      <c r="Q30" s="13" t="s">
        <v>169</v>
      </c>
      <c r="R30" s="13" t="s">
        <v>169</v>
      </c>
      <c r="S30" s="13" t="s">
        <v>169</v>
      </c>
      <c r="T30" s="79"/>
      <c r="U30" s="79"/>
      <c r="V30" s="79"/>
      <c r="W30" s="79"/>
      <c r="X30" s="79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75"/>
      <c r="BR30" s="75"/>
      <c r="BS30" s="75"/>
      <c r="BT30" s="75"/>
      <c r="BU30" s="75"/>
      <c r="BV30" s="75"/>
      <c r="BW30" s="75"/>
      <c r="BX30" s="75"/>
      <c r="BY30" s="75"/>
      <c r="BZ30" s="75"/>
      <c r="CA30" s="75"/>
      <c r="CB30" s="75"/>
      <c r="CC30" s="75"/>
      <c r="CD30" s="75"/>
      <c r="CE30" s="75"/>
      <c r="CF30" s="75"/>
      <c r="CG30" s="75"/>
      <c r="CH30" s="75"/>
      <c r="CI30" s="75"/>
      <c r="CJ30" s="75"/>
      <c r="CK30" s="75"/>
      <c r="CL30" s="75"/>
      <c r="CM30" s="75"/>
      <c r="CN30" s="75"/>
      <c r="CO30" s="75"/>
      <c r="CP30" s="75"/>
      <c r="CQ30" s="75"/>
      <c r="CR30" s="75"/>
      <c r="CS30" s="75"/>
      <c r="CT30" s="75"/>
      <c r="CU30" s="75"/>
      <c r="CV30" s="75"/>
      <c r="CW30" s="75"/>
      <c r="CX30" s="75"/>
      <c r="CY30" s="75"/>
      <c r="CZ30" s="75"/>
      <c r="DA30" s="75"/>
      <c r="DB30" s="75"/>
      <c r="DC30" s="75"/>
      <c r="DD30" s="75"/>
      <c r="DE30" s="75"/>
      <c r="DF30" s="75"/>
      <c r="DG30" s="75"/>
      <c r="DH30" s="75"/>
      <c r="DI30" s="75"/>
      <c r="DJ30" s="75"/>
      <c r="DK30" s="75"/>
      <c r="DL30" s="75"/>
      <c r="DM30" s="75"/>
      <c r="DN30" s="75"/>
      <c r="DO30" s="75"/>
      <c r="DP30" s="75"/>
      <c r="DQ30" s="75"/>
      <c r="DR30" s="75"/>
      <c r="DS30" s="75"/>
      <c r="DT30" s="75"/>
      <c r="DU30" s="75"/>
      <c r="DV30" s="75"/>
      <c r="DW30" s="75"/>
      <c r="DX30" s="75"/>
      <c r="DY30" s="75"/>
      <c r="DZ30" s="75"/>
      <c r="EA30" s="75"/>
      <c r="EB30" s="75"/>
      <c r="EC30" s="75"/>
      <c r="ED30" s="75"/>
      <c r="EE30" s="75"/>
      <c r="EF30" s="75"/>
      <c r="EG30" s="75"/>
      <c r="EH30" s="75"/>
      <c r="EI30" s="75"/>
      <c r="EJ30" s="75"/>
      <c r="EK30" s="75"/>
      <c r="EL30" s="75"/>
      <c r="EM30" s="75"/>
      <c r="EN30" s="75"/>
      <c r="EO30" s="75"/>
      <c r="EP30" s="75"/>
      <c r="EQ30" s="75"/>
      <c r="ER30" s="75"/>
      <c r="ES30" s="75"/>
      <c r="ET30" s="75"/>
      <c r="EU30" s="75"/>
      <c r="EV30" s="75"/>
      <c r="EW30" s="75"/>
      <c r="EX30" s="75"/>
      <c r="EY30" s="75"/>
      <c r="EZ30" s="75"/>
      <c r="FA30" s="75"/>
      <c r="FB30" s="75"/>
      <c r="FC30" s="75"/>
      <c r="FD30" s="75"/>
      <c r="FE30" s="75"/>
      <c r="FF30" s="75"/>
      <c r="FG30" s="75"/>
      <c r="FH30" s="75"/>
      <c r="FI30" s="75"/>
      <c r="FJ30" s="75"/>
      <c r="FK30" s="75"/>
      <c r="FL30" s="75"/>
      <c r="FM30" s="75"/>
      <c r="FN30" s="75"/>
      <c r="FO30" s="75"/>
      <c r="FP30" s="75"/>
      <c r="FQ30" s="75"/>
      <c r="FR30" s="75"/>
      <c r="FS30" s="75"/>
      <c r="FT30" s="75"/>
      <c r="FU30" s="75"/>
      <c r="FV30" s="75"/>
      <c r="FW30" s="75"/>
      <c r="FX30" s="75"/>
      <c r="FY30" s="75"/>
      <c r="FZ30" s="75"/>
      <c r="GA30" s="75"/>
      <c r="GB30" s="75"/>
      <c r="GC30" s="75"/>
      <c r="GD30" s="75"/>
      <c r="GE30" s="75"/>
      <c r="GF30" s="75"/>
      <c r="GG30" s="75"/>
      <c r="GH30" s="75"/>
      <c r="GI30" s="75"/>
      <c r="GJ30" s="75"/>
      <c r="GK30" s="75"/>
      <c r="GL30" s="75"/>
      <c r="GM30" s="75"/>
      <c r="GN30" s="75"/>
      <c r="GO30" s="75"/>
      <c r="GP30" s="75"/>
      <c r="GQ30" s="75"/>
      <c r="GR30" s="75"/>
      <c r="GS30" s="75"/>
      <c r="GT30" s="75"/>
      <c r="GU30" s="75"/>
      <c r="GV30" s="75"/>
      <c r="GW30" s="75"/>
      <c r="GX30" s="75"/>
      <c r="GY30" s="75"/>
      <c r="GZ30" s="75"/>
      <c r="HA30" s="75"/>
      <c r="HB30" s="75"/>
      <c r="HC30" s="75"/>
      <c r="HD30" s="75"/>
      <c r="HE30" s="75"/>
      <c r="HF30" s="75"/>
      <c r="HG30" s="75"/>
      <c r="HH30" s="75"/>
      <c r="HI30" s="75"/>
      <c r="HJ30" s="75"/>
      <c r="HK30" s="75"/>
      <c r="HL30" s="75"/>
      <c r="HM30" s="75"/>
      <c r="HN30" s="75"/>
      <c r="HO30" s="75"/>
      <c r="HP30" s="75"/>
      <c r="HQ30" s="75"/>
      <c r="HR30" s="75"/>
      <c r="HS30" s="75"/>
      <c r="HT30" s="75"/>
      <c r="HU30" s="75"/>
      <c r="HV30" s="75"/>
      <c r="HW30" s="75"/>
      <c r="HX30" s="75"/>
      <c r="HY30" s="75"/>
      <c r="HZ30" s="75"/>
      <c r="IA30" s="75"/>
      <c r="IB30" s="75"/>
      <c r="IC30" s="75"/>
      <c r="ID30" s="75"/>
      <c r="IE30" s="75"/>
      <c r="IF30" s="75"/>
      <c r="IG30" s="75"/>
      <c r="IH30" s="75"/>
      <c r="II30" s="75"/>
      <c r="IJ30" s="75"/>
      <c r="IK30" s="75"/>
      <c r="IL30" s="75"/>
      <c r="IM30" s="75"/>
      <c r="IN30" s="75"/>
      <c r="IO30" s="75"/>
      <c r="IP30" s="75"/>
      <c r="IQ30" s="75"/>
      <c r="IR30" s="75"/>
      <c r="IS30" s="75"/>
      <c r="IT30" s="75"/>
      <c r="IU30" s="75"/>
      <c r="IV30" s="75"/>
      <c r="IW30" s="75"/>
      <c r="IX30" s="75"/>
      <c r="IY30" s="75"/>
      <c r="IZ30" s="75"/>
      <c r="JA30" s="75"/>
      <c r="JB30" s="75"/>
      <c r="JC30" s="75"/>
      <c r="JD30" s="75"/>
      <c r="JE30" s="75"/>
      <c r="JF30" s="75"/>
      <c r="JG30" s="75"/>
      <c r="JH30" s="75"/>
      <c r="JI30" s="75"/>
      <c r="JJ30" s="75"/>
      <c r="JK30" s="75"/>
      <c r="JL30" s="75"/>
      <c r="JM30" s="75"/>
      <c r="JN30" s="75"/>
      <c r="JO30" s="75"/>
      <c r="JP30" s="75"/>
      <c r="JQ30" s="75"/>
      <c r="JR30" s="75"/>
      <c r="JS30" s="75"/>
      <c r="JT30" s="75"/>
      <c r="JU30" s="75"/>
      <c r="JV30" s="75"/>
      <c r="JW30" s="75"/>
      <c r="JX30" s="75"/>
      <c r="JY30" s="75"/>
      <c r="JZ30" s="75"/>
      <c r="KA30" s="75"/>
      <c r="KB30" s="75"/>
      <c r="KC30" s="75"/>
      <c r="KD30" s="75"/>
      <c r="KE30" s="75"/>
      <c r="KF30" s="75"/>
      <c r="KG30" s="75"/>
      <c r="KH30" s="75"/>
      <c r="KI30" s="75"/>
      <c r="KJ30" s="75"/>
      <c r="KK30" s="75"/>
    </row>
    <row r="31" spans="1:297" ht="30" customHeight="1" x14ac:dyDescent="0.25">
      <c r="A31" s="33" t="s">
        <v>107</v>
      </c>
      <c r="B31" s="17" t="s">
        <v>108</v>
      </c>
      <c r="C31" s="4">
        <f>_xlfn.XLOOKUP(B31,Lookups!G:G,Lookups!H:H,"",0,1)</f>
        <v>10</v>
      </c>
      <c r="D31" s="4" t="str">
        <f>_xlfn.XLOOKUP(C31,[1]Sheet2!$A$2:$A$11,[1]Sheet2!$B$2:$B$11,"Not found")</f>
        <v>Suggested Learning</v>
      </c>
      <c r="E31" s="4"/>
      <c r="F31" s="13" t="str">
        <f>_xlfn.XLOOKUP(B31,'Holiday Inn Express'!B:B,'Holiday Inn Express'!F:F,"",0,1)</f>
        <v>Self-paced Online Learning.</v>
      </c>
      <c r="G31" s="13" t="s">
        <v>170</v>
      </c>
      <c r="H31" s="13" t="s">
        <v>170</v>
      </c>
      <c r="I31" s="13" t="s">
        <v>169</v>
      </c>
      <c r="J31" s="13" t="s">
        <v>169</v>
      </c>
      <c r="K31" s="13" t="s">
        <v>169</v>
      </c>
      <c r="L31" s="13" t="s">
        <v>169</v>
      </c>
      <c r="M31" s="13" t="s">
        <v>169</v>
      </c>
      <c r="N31" s="13" t="s">
        <v>169</v>
      </c>
      <c r="O31" s="13" t="s">
        <v>169</v>
      </c>
      <c r="P31" s="13" t="s">
        <v>169</v>
      </c>
      <c r="Q31" s="13" t="s">
        <v>169</v>
      </c>
      <c r="R31" s="13" t="s">
        <v>169</v>
      </c>
      <c r="S31" s="13" t="s">
        <v>169</v>
      </c>
      <c r="T31" s="79"/>
      <c r="U31" s="79"/>
      <c r="V31" s="79"/>
      <c r="W31" s="79"/>
      <c r="X31" s="79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75"/>
      <c r="BR31" s="75"/>
      <c r="BS31" s="75"/>
      <c r="BT31" s="75"/>
      <c r="BU31" s="75"/>
      <c r="BV31" s="75"/>
      <c r="BW31" s="75"/>
      <c r="BX31" s="75"/>
      <c r="BY31" s="75"/>
      <c r="BZ31" s="75"/>
      <c r="CA31" s="75"/>
      <c r="CB31" s="75"/>
      <c r="CC31" s="75"/>
      <c r="CD31" s="75"/>
      <c r="CE31" s="75"/>
      <c r="CF31" s="75"/>
      <c r="CG31" s="75"/>
      <c r="CH31" s="75"/>
      <c r="CI31" s="75"/>
      <c r="CJ31" s="75"/>
      <c r="CK31" s="75"/>
      <c r="CL31" s="75"/>
      <c r="CM31" s="75"/>
      <c r="CN31" s="75"/>
      <c r="CO31" s="75"/>
      <c r="CP31" s="75"/>
      <c r="CQ31" s="75"/>
      <c r="CR31" s="75"/>
      <c r="CS31" s="75"/>
      <c r="CT31" s="75"/>
      <c r="CU31" s="75"/>
      <c r="CV31" s="75"/>
      <c r="CW31" s="75"/>
      <c r="CX31" s="75"/>
      <c r="CY31" s="75"/>
      <c r="CZ31" s="75"/>
      <c r="DA31" s="75"/>
      <c r="DB31" s="75"/>
      <c r="DC31" s="75"/>
      <c r="DD31" s="75"/>
      <c r="DE31" s="75"/>
      <c r="DF31" s="75"/>
      <c r="DG31" s="75"/>
      <c r="DH31" s="75"/>
      <c r="DI31" s="75"/>
      <c r="DJ31" s="75"/>
      <c r="DK31" s="75"/>
      <c r="DL31" s="75"/>
      <c r="DM31" s="75"/>
      <c r="DN31" s="75"/>
      <c r="DO31" s="75"/>
      <c r="DP31" s="75"/>
      <c r="DQ31" s="75"/>
      <c r="DR31" s="75"/>
      <c r="DS31" s="75"/>
      <c r="DT31" s="75"/>
      <c r="DU31" s="75"/>
      <c r="DV31" s="75"/>
      <c r="DW31" s="75"/>
      <c r="DX31" s="75"/>
      <c r="DY31" s="75"/>
      <c r="DZ31" s="75"/>
      <c r="EA31" s="75"/>
      <c r="EB31" s="75"/>
      <c r="EC31" s="75"/>
      <c r="ED31" s="75"/>
      <c r="EE31" s="75"/>
      <c r="EF31" s="75"/>
      <c r="EG31" s="75"/>
      <c r="EH31" s="75"/>
      <c r="EI31" s="75"/>
      <c r="EJ31" s="75"/>
      <c r="EK31" s="75"/>
      <c r="EL31" s="75"/>
      <c r="EM31" s="75"/>
      <c r="EN31" s="75"/>
      <c r="EO31" s="75"/>
      <c r="EP31" s="75"/>
      <c r="EQ31" s="75"/>
      <c r="ER31" s="75"/>
      <c r="ES31" s="75"/>
      <c r="ET31" s="75"/>
      <c r="EU31" s="75"/>
      <c r="EV31" s="75"/>
      <c r="EW31" s="75"/>
      <c r="EX31" s="75"/>
      <c r="EY31" s="75"/>
      <c r="EZ31" s="75"/>
      <c r="FA31" s="75"/>
      <c r="FB31" s="75"/>
      <c r="FC31" s="75"/>
      <c r="FD31" s="75"/>
      <c r="FE31" s="75"/>
      <c r="FF31" s="75"/>
      <c r="FG31" s="75"/>
      <c r="FH31" s="75"/>
      <c r="FI31" s="75"/>
      <c r="FJ31" s="75"/>
      <c r="FK31" s="75"/>
      <c r="FL31" s="75"/>
      <c r="FM31" s="75"/>
      <c r="FN31" s="75"/>
      <c r="FO31" s="75"/>
      <c r="FP31" s="75"/>
      <c r="FQ31" s="75"/>
      <c r="FR31" s="75"/>
      <c r="FS31" s="75"/>
      <c r="FT31" s="75"/>
      <c r="FU31" s="75"/>
      <c r="FV31" s="75"/>
      <c r="FW31" s="75"/>
      <c r="FX31" s="75"/>
      <c r="FY31" s="75"/>
      <c r="FZ31" s="75"/>
      <c r="GA31" s="75"/>
      <c r="GB31" s="75"/>
      <c r="GC31" s="75"/>
      <c r="GD31" s="75"/>
      <c r="GE31" s="75"/>
      <c r="GF31" s="75"/>
      <c r="GG31" s="75"/>
      <c r="GH31" s="75"/>
      <c r="GI31" s="75"/>
      <c r="GJ31" s="75"/>
      <c r="GK31" s="75"/>
      <c r="GL31" s="75"/>
      <c r="GM31" s="75"/>
      <c r="GN31" s="75"/>
      <c r="GO31" s="75"/>
      <c r="GP31" s="75"/>
      <c r="GQ31" s="75"/>
      <c r="GR31" s="75"/>
      <c r="GS31" s="75"/>
      <c r="GT31" s="75"/>
      <c r="GU31" s="75"/>
      <c r="GV31" s="75"/>
      <c r="GW31" s="75"/>
      <c r="GX31" s="75"/>
      <c r="GY31" s="75"/>
      <c r="GZ31" s="75"/>
      <c r="HA31" s="75"/>
      <c r="HB31" s="75"/>
      <c r="HC31" s="75"/>
      <c r="HD31" s="75"/>
      <c r="HE31" s="75"/>
      <c r="HF31" s="75"/>
      <c r="HG31" s="75"/>
      <c r="HH31" s="75"/>
      <c r="HI31" s="75"/>
      <c r="HJ31" s="75"/>
      <c r="HK31" s="75"/>
      <c r="HL31" s="75"/>
      <c r="HM31" s="75"/>
      <c r="HN31" s="75"/>
      <c r="HO31" s="75"/>
      <c r="HP31" s="75"/>
      <c r="HQ31" s="75"/>
      <c r="HR31" s="75"/>
      <c r="HS31" s="75"/>
      <c r="HT31" s="75"/>
      <c r="HU31" s="75"/>
      <c r="HV31" s="75"/>
      <c r="HW31" s="75"/>
      <c r="HX31" s="75"/>
      <c r="HY31" s="75"/>
      <c r="HZ31" s="75"/>
      <c r="IA31" s="75"/>
      <c r="IB31" s="75"/>
      <c r="IC31" s="75"/>
      <c r="ID31" s="75"/>
      <c r="IE31" s="75"/>
      <c r="IF31" s="75"/>
      <c r="IG31" s="75"/>
      <c r="IH31" s="75"/>
      <c r="II31" s="75"/>
      <c r="IJ31" s="75"/>
      <c r="IK31" s="75"/>
      <c r="IL31" s="75"/>
      <c r="IM31" s="75"/>
      <c r="IN31" s="75"/>
      <c r="IO31" s="75"/>
      <c r="IP31" s="75"/>
      <c r="IQ31" s="75"/>
      <c r="IR31" s="75"/>
      <c r="IS31" s="75"/>
      <c r="IT31" s="75"/>
      <c r="IU31" s="75"/>
      <c r="IV31" s="75"/>
      <c r="IW31" s="75"/>
      <c r="IX31" s="75"/>
      <c r="IY31" s="75"/>
      <c r="IZ31" s="75"/>
      <c r="JA31" s="75"/>
      <c r="JB31" s="75"/>
      <c r="JC31" s="75"/>
      <c r="JD31" s="75"/>
      <c r="JE31" s="75"/>
      <c r="JF31" s="75"/>
      <c r="JG31" s="75"/>
      <c r="JH31" s="75"/>
      <c r="JI31" s="75"/>
      <c r="JJ31" s="75"/>
      <c r="JK31" s="75"/>
      <c r="JL31" s="75"/>
      <c r="JM31" s="75"/>
      <c r="JN31" s="75"/>
      <c r="JO31" s="75"/>
      <c r="JP31" s="75"/>
      <c r="JQ31" s="75"/>
      <c r="JR31" s="75"/>
      <c r="JS31" s="75"/>
      <c r="JT31" s="75"/>
      <c r="JU31" s="75"/>
      <c r="JV31" s="75"/>
      <c r="JW31" s="75"/>
      <c r="JX31" s="75"/>
      <c r="JY31" s="75"/>
      <c r="JZ31" s="75"/>
      <c r="KA31" s="75"/>
      <c r="KB31" s="75"/>
      <c r="KC31" s="75"/>
      <c r="KD31" s="75"/>
      <c r="KE31" s="75"/>
      <c r="KF31" s="75"/>
      <c r="KG31" s="75"/>
      <c r="KH31" s="75"/>
      <c r="KI31" s="75"/>
      <c r="KJ31" s="75"/>
      <c r="KK31" s="75"/>
    </row>
    <row r="32" spans="1:297" ht="30" customHeight="1" x14ac:dyDescent="0.25">
      <c r="A32" s="33" t="s">
        <v>109</v>
      </c>
      <c r="B32" s="12" t="s">
        <v>110</v>
      </c>
      <c r="C32" s="4">
        <f>_xlfn.XLOOKUP(B32,Lookups!G:G,Lookups!H:H,"",0,1)</f>
        <v>6</v>
      </c>
      <c r="D32" s="4" t="str">
        <f>_xlfn.XLOOKUP(C32,[1]Sheet2!$A$2:$A$11,[1]Sheet2!$B$2:$B$11,"Not found")</f>
        <v>within 120 days</v>
      </c>
      <c r="E32" s="4"/>
      <c r="F32" s="13" t="str">
        <f>_xlfn.XLOOKUP(B32,'Holiday Inn Express'!B:B,'Holiday Inn Express'!F:F,"",0,1)</f>
        <v>In-person Instructor Led Course (see available dates &amp; times by clicking the link below). Prerequisite:  Must Complete Sales Learning Pathway</v>
      </c>
      <c r="G32" s="13" t="s">
        <v>170</v>
      </c>
      <c r="H32" s="13" t="s">
        <v>170</v>
      </c>
      <c r="I32" s="13" t="s">
        <v>169</v>
      </c>
      <c r="J32" s="13" t="s">
        <v>169</v>
      </c>
      <c r="K32" s="13" t="s">
        <v>169</v>
      </c>
      <c r="L32" s="13" t="s">
        <v>169</v>
      </c>
      <c r="M32" s="13" t="s">
        <v>169</v>
      </c>
      <c r="N32" s="13" t="s">
        <v>169</v>
      </c>
      <c r="O32" s="13" t="s">
        <v>169</v>
      </c>
      <c r="P32" s="13" t="s">
        <v>169</v>
      </c>
      <c r="Q32" s="13" t="s">
        <v>169</v>
      </c>
      <c r="R32" s="13" t="s">
        <v>169</v>
      </c>
      <c r="S32" s="13" t="s">
        <v>169</v>
      </c>
      <c r="T32" s="79"/>
      <c r="U32" s="79"/>
      <c r="V32" s="79"/>
      <c r="W32" s="79"/>
      <c r="X32" s="79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5"/>
      <c r="BV32" s="75"/>
      <c r="BW32" s="75"/>
      <c r="BX32" s="75"/>
      <c r="BY32" s="75"/>
      <c r="BZ32" s="75"/>
      <c r="CA32" s="75"/>
      <c r="CB32" s="75"/>
      <c r="CC32" s="75"/>
      <c r="CD32" s="75"/>
      <c r="CE32" s="75"/>
      <c r="CF32" s="75"/>
      <c r="CG32" s="75"/>
      <c r="CH32" s="75"/>
      <c r="CI32" s="75"/>
      <c r="CJ32" s="75"/>
      <c r="CK32" s="75"/>
      <c r="CL32" s="75"/>
      <c r="CM32" s="75"/>
      <c r="CN32" s="75"/>
      <c r="CO32" s="75"/>
      <c r="CP32" s="75"/>
      <c r="CQ32" s="75"/>
      <c r="CR32" s="75"/>
      <c r="CS32" s="75"/>
      <c r="CT32" s="75"/>
      <c r="CU32" s="75"/>
      <c r="CV32" s="75"/>
      <c r="CW32" s="75"/>
      <c r="CX32" s="75"/>
      <c r="CY32" s="75"/>
      <c r="CZ32" s="75"/>
      <c r="DA32" s="75"/>
      <c r="DB32" s="75"/>
      <c r="DC32" s="75"/>
      <c r="DD32" s="75"/>
      <c r="DE32" s="75"/>
      <c r="DF32" s="75"/>
      <c r="DG32" s="75"/>
      <c r="DH32" s="75"/>
      <c r="DI32" s="75"/>
      <c r="DJ32" s="75"/>
      <c r="DK32" s="75"/>
      <c r="DL32" s="75"/>
      <c r="DM32" s="75"/>
      <c r="DN32" s="75"/>
      <c r="DO32" s="75"/>
      <c r="DP32" s="75"/>
      <c r="DQ32" s="75"/>
      <c r="DR32" s="75"/>
      <c r="DS32" s="75"/>
      <c r="DT32" s="75"/>
      <c r="DU32" s="75"/>
      <c r="DV32" s="75"/>
      <c r="DW32" s="75"/>
      <c r="DX32" s="75"/>
      <c r="DY32" s="75"/>
      <c r="DZ32" s="75"/>
      <c r="EA32" s="75"/>
      <c r="EB32" s="75"/>
      <c r="EC32" s="75"/>
      <c r="ED32" s="75"/>
      <c r="EE32" s="75"/>
      <c r="EF32" s="75"/>
      <c r="EG32" s="75"/>
      <c r="EH32" s="75"/>
      <c r="EI32" s="75"/>
      <c r="EJ32" s="75"/>
      <c r="EK32" s="75"/>
      <c r="EL32" s="75"/>
      <c r="EM32" s="75"/>
      <c r="EN32" s="75"/>
      <c r="EO32" s="75"/>
      <c r="EP32" s="75"/>
      <c r="EQ32" s="75"/>
      <c r="ER32" s="75"/>
      <c r="ES32" s="75"/>
      <c r="ET32" s="75"/>
      <c r="EU32" s="75"/>
      <c r="EV32" s="75"/>
      <c r="EW32" s="75"/>
      <c r="EX32" s="75"/>
      <c r="EY32" s="75"/>
      <c r="EZ32" s="75"/>
      <c r="FA32" s="75"/>
      <c r="FB32" s="75"/>
      <c r="FC32" s="75"/>
      <c r="FD32" s="75"/>
      <c r="FE32" s="75"/>
      <c r="FF32" s="75"/>
      <c r="FG32" s="75"/>
      <c r="FH32" s="75"/>
      <c r="FI32" s="75"/>
      <c r="FJ32" s="75"/>
      <c r="FK32" s="75"/>
      <c r="FL32" s="75"/>
      <c r="FM32" s="75"/>
      <c r="FN32" s="75"/>
      <c r="FO32" s="75"/>
      <c r="FP32" s="75"/>
      <c r="FQ32" s="75"/>
      <c r="FR32" s="75"/>
      <c r="FS32" s="75"/>
      <c r="FT32" s="75"/>
      <c r="FU32" s="75"/>
      <c r="FV32" s="75"/>
      <c r="FW32" s="75"/>
      <c r="FX32" s="75"/>
      <c r="FY32" s="75"/>
      <c r="FZ32" s="75"/>
      <c r="GA32" s="75"/>
      <c r="GB32" s="75"/>
      <c r="GC32" s="75"/>
      <c r="GD32" s="75"/>
      <c r="GE32" s="75"/>
      <c r="GF32" s="75"/>
      <c r="GG32" s="75"/>
      <c r="GH32" s="75"/>
      <c r="GI32" s="75"/>
      <c r="GJ32" s="75"/>
      <c r="GK32" s="75"/>
      <c r="GL32" s="75"/>
      <c r="GM32" s="75"/>
      <c r="GN32" s="75"/>
      <c r="GO32" s="75"/>
      <c r="GP32" s="75"/>
      <c r="GQ32" s="75"/>
      <c r="GR32" s="75"/>
      <c r="GS32" s="75"/>
      <c r="GT32" s="75"/>
      <c r="GU32" s="75"/>
      <c r="GV32" s="75"/>
      <c r="GW32" s="75"/>
      <c r="GX32" s="75"/>
      <c r="GY32" s="75"/>
      <c r="GZ32" s="75"/>
      <c r="HA32" s="75"/>
      <c r="HB32" s="75"/>
      <c r="HC32" s="75"/>
      <c r="HD32" s="75"/>
      <c r="HE32" s="75"/>
      <c r="HF32" s="75"/>
      <c r="HG32" s="75"/>
      <c r="HH32" s="75"/>
      <c r="HI32" s="75"/>
      <c r="HJ32" s="75"/>
      <c r="HK32" s="75"/>
      <c r="HL32" s="75"/>
      <c r="HM32" s="75"/>
      <c r="HN32" s="75"/>
      <c r="HO32" s="75"/>
      <c r="HP32" s="75"/>
      <c r="HQ32" s="75"/>
      <c r="HR32" s="75"/>
      <c r="HS32" s="75"/>
      <c r="HT32" s="75"/>
      <c r="HU32" s="75"/>
      <c r="HV32" s="75"/>
      <c r="HW32" s="75"/>
      <c r="HX32" s="75"/>
      <c r="HY32" s="75"/>
      <c r="HZ32" s="75"/>
      <c r="IA32" s="75"/>
      <c r="IB32" s="75"/>
      <c r="IC32" s="75"/>
      <c r="ID32" s="75"/>
      <c r="IE32" s="75"/>
      <c r="IF32" s="75"/>
      <c r="IG32" s="75"/>
      <c r="IH32" s="75"/>
      <c r="II32" s="75"/>
      <c r="IJ32" s="75"/>
      <c r="IK32" s="75"/>
      <c r="IL32" s="75"/>
      <c r="IM32" s="75"/>
      <c r="IN32" s="75"/>
      <c r="IO32" s="75"/>
      <c r="IP32" s="75"/>
      <c r="IQ32" s="75"/>
      <c r="IR32" s="75"/>
      <c r="IS32" s="75"/>
      <c r="IT32" s="75"/>
      <c r="IU32" s="75"/>
      <c r="IV32" s="75"/>
      <c r="IW32" s="75"/>
      <c r="IX32" s="75"/>
      <c r="IY32" s="75"/>
      <c r="IZ32" s="75"/>
      <c r="JA32" s="75"/>
      <c r="JB32" s="75"/>
      <c r="JC32" s="75"/>
      <c r="JD32" s="75"/>
      <c r="JE32" s="75"/>
      <c r="JF32" s="75"/>
      <c r="JG32" s="75"/>
      <c r="JH32" s="75"/>
      <c r="JI32" s="75"/>
      <c r="JJ32" s="75"/>
      <c r="JK32" s="75"/>
      <c r="JL32" s="75"/>
      <c r="JM32" s="75"/>
      <c r="JN32" s="75"/>
      <c r="JO32" s="75"/>
      <c r="JP32" s="75"/>
      <c r="JQ32" s="75"/>
      <c r="JR32" s="75"/>
      <c r="JS32" s="75"/>
      <c r="JT32" s="75"/>
      <c r="JU32" s="75"/>
      <c r="JV32" s="75"/>
      <c r="JW32" s="75"/>
      <c r="JX32" s="75"/>
      <c r="JY32" s="75"/>
      <c r="JZ32" s="75"/>
      <c r="KA32" s="75"/>
      <c r="KB32" s="75"/>
      <c r="KC32" s="75"/>
      <c r="KD32" s="75"/>
      <c r="KE32" s="75"/>
      <c r="KF32" s="75"/>
      <c r="KG32" s="75"/>
      <c r="KH32" s="75"/>
      <c r="KI32" s="75"/>
      <c r="KJ32" s="75"/>
      <c r="KK32" s="75"/>
    </row>
    <row r="33" spans="1:297" ht="30" customHeight="1" x14ac:dyDescent="0.25">
      <c r="A33" s="33" t="s">
        <v>111</v>
      </c>
      <c r="B33" s="17" t="s">
        <v>112</v>
      </c>
      <c r="C33" s="4">
        <f>_xlfn.XLOOKUP(B33,Lookups!G:G,Lookups!H:H,"",0,1)</f>
        <v>10</v>
      </c>
      <c r="D33" s="4" t="str">
        <f>_xlfn.XLOOKUP(C33,[1]Sheet2!$A$2:$A$11,[1]Sheet2!$B$2:$B$11,"Not found")</f>
        <v>Suggested Learning</v>
      </c>
      <c r="E33" s="4"/>
      <c r="F33" s="13" t="str">
        <f>_xlfn.XLOOKUP(B33,'Holiday Inn Express'!B:B,'Holiday Inn Express'!F:F,"",0,1)</f>
        <v>Self-paced Online Learning.</v>
      </c>
      <c r="G33" s="13" t="s">
        <v>170</v>
      </c>
      <c r="H33" s="13" t="s">
        <v>169</v>
      </c>
      <c r="I33" s="13" t="s">
        <v>170</v>
      </c>
      <c r="J33" s="13" t="s">
        <v>169</v>
      </c>
      <c r="K33" s="13" t="s">
        <v>169</v>
      </c>
      <c r="L33" s="13" t="s">
        <v>169</v>
      </c>
      <c r="M33" s="13" t="s">
        <v>169</v>
      </c>
      <c r="N33" s="13" t="s">
        <v>169</v>
      </c>
      <c r="O33" s="13" t="s">
        <v>169</v>
      </c>
      <c r="P33" s="13" t="s">
        <v>169</v>
      </c>
      <c r="Q33" s="13" t="s">
        <v>169</v>
      </c>
      <c r="R33" s="13" t="s">
        <v>169</v>
      </c>
      <c r="S33" s="13" t="s">
        <v>169</v>
      </c>
      <c r="T33" s="79"/>
      <c r="U33" s="79"/>
      <c r="V33" s="79"/>
      <c r="W33" s="79"/>
      <c r="X33" s="79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5"/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5"/>
      <c r="BV33" s="75"/>
      <c r="BW33" s="75"/>
      <c r="BX33" s="75"/>
      <c r="BY33" s="75"/>
      <c r="BZ33" s="75"/>
      <c r="CA33" s="75"/>
      <c r="CB33" s="75"/>
      <c r="CC33" s="75"/>
      <c r="CD33" s="75"/>
      <c r="CE33" s="75"/>
      <c r="CF33" s="75"/>
      <c r="CG33" s="75"/>
      <c r="CH33" s="75"/>
      <c r="CI33" s="75"/>
      <c r="CJ33" s="75"/>
      <c r="CK33" s="75"/>
      <c r="CL33" s="75"/>
      <c r="CM33" s="75"/>
      <c r="CN33" s="75"/>
      <c r="CO33" s="75"/>
      <c r="CP33" s="75"/>
      <c r="CQ33" s="75"/>
      <c r="CR33" s="75"/>
      <c r="CS33" s="75"/>
      <c r="CT33" s="75"/>
      <c r="CU33" s="75"/>
      <c r="CV33" s="75"/>
      <c r="CW33" s="75"/>
      <c r="CX33" s="75"/>
      <c r="CY33" s="75"/>
      <c r="CZ33" s="75"/>
      <c r="DA33" s="75"/>
      <c r="DB33" s="75"/>
      <c r="DC33" s="75"/>
      <c r="DD33" s="75"/>
      <c r="DE33" s="75"/>
      <c r="DF33" s="75"/>
      <c r="DG33" s="75"/>
      <c r="DH33" s="75"/>
      <c r="DI33" s="75"/>
      <c r="DJ33" s="75"/>
      <c r="DK33" s="75"/>
      <c r="DL33" s="75"/>
      <c r="DM33" s="75"/>
      <c r="DN33" s="75"/>
      <c r="DO33" s="75"/>
      <c r="DP33" s="75"/>
      <c r="DQ33" s="75"/>
      <c r="DR33" s="75"/>
      <c r="DS33" s="75"/>
      <c r="DT33" s="75"/>
      <c r="DU33" s="75"/>
      <c r="DV33" s="75"/>
      <c r="DW33" s="75"/>
      <c r="DX33" s="75"/>
      <c r="DY33" s="75"/>
      <c r="DZ33" s="75"/>
      <c r="EA33" s="75"/>
      <c r="EB33" s="75"/>
      <c r="EC33" s="75"/>
      <c r="ED33" s="75"/>
      <c r="EE33" s="75"/>
      <c r="EF33" s="75"/>
      <c r="EG33" s="75"/>
      <c r="EH33" s="75"/>
      <c r="EI33" s="75"/>
      <c r="EJ33" s="75"/>
      <c r="EK33" s="75"/>
      <c r="EL33" s="75"/>
      <c r="EM33" s="75"/>
      <c r="EN33" s="75"/>
      <c r="EO33" s="75"/>
      <c r="EP33" s="75"/>
      <c r="EQ33" s="75"/>
      <c r="ER33" s="75"/>
      <c r="ES33" s="75"/>
      <c r="ET33" s="75"/>
      <c r="EU33" s="75"/>
      <c r="EV33" s="75"/>
      <c r="EW33" s="75"/>
      <c r="EX33" s="75"/>
      <c r="EY33" s="75"/>
      <c r="EZ33" s="75"/>
      <c r="FA33" s="75"/>
      <c r="FB33" s="75"/>
      <c r="FC33" s="75"/>
      <c r="FD33" s="75"/>
      <c r="FE33" s="75"/>
      <c r="FF33" s="75"/>
      <c r="FG33" s="75"/>
      <c r="FH33" s="75"/>
      <c r="FI33" s="75"/>
      <c r="FJ33" s="75"/>
      <c r="FK33" s="75"/>
      <c r="FL33" s="75"/>
      <c r="FM33" s="75"/>
      <c r="FN33" s="75"/>
      <c r="FO33" s="75"/>
      <c r="FP33" s="75"/>
      <c r="FQ33" s="75"/>
      <c r="FR33" s="75"/>
      <c r="FS33" s="75"/>
      <c r="FT33" s="75"/>
      <c r="FU33" s="75"/>
      <c r="FV33" s="75"/>
      <c r="FW33" s="75"/>
      <c r="FX33" s="75"/>
      <c r="FY33" s="75"/>
      <c r="FZ33" s="75"/>
      <c r="GA33" s="75"/>
      <c r="GB33" s="75"/>
      <c r="GC33" s="75"/>
      <c r="GD33" s="75"/>
      <c r="GE33" s="75"/>
      <c r="GF33" s="75"/>
      <c r="GG33" s="75"/>
      <c r="GH33" s="75"/>
      <c r="GI33" s="75"/>
      <c r="GJ33" s="75"/>
      <c r="GK33" s="75"/>
      <c r="GL33" s="75"/>
      <c r="GM33" s="75"/>
      <c r="GN33" s="75"/>
      <c r="GO33" s="75"/>
      <c r="GP33" s="75"/>
      <c r="GQ33" s="75"/>
      <c r="GR33" s="75"/>
      <c r="GS33" s="75"/>
      <c r="GT33" s="75"/>
      <c r="GU33" s="75"/>
      <c r="GV33" s="75"/>
      <c r="GW33" s="75"/>
      <c r="GX33" s="75"/>
      <c r="GY33" s="75"/>
      <c r="GZ33" s="75"/>
      <c r="HA33" s="75"/>
      <c r="HB33" s="75"/>
      <c r="HC33" s="75"/>
      <c r="HD33" s="75"/>
      <c r="HE33" s="75"/>
      <c r="HF33" s="75"/>
      <c r="HG33" s="75"/>
      <c r="HH33" s="75"/>
      <c r="HI33" s="75"/>
      <c r="HJ33" s="75"/>
      <c r="HK33" s="75"/>
      <c r="HL33" s="75"/>
      <c r="HM33" s="75"/>
      <c r="HN33" s="75"/>
      <c r="HO33" s="75"/>
      <c r="HP33" s="75"/>
      <c r="HQ33" s="75"/>
      <c r="HR33" s="75"/>
      <c r="HS33" s="75"/>
      <c r="HT33" s="75"/>
      <c r="HU33" s="75"/>
      <c r="HV33" s="75"/>
      <c r="HW33" s="75"/>
      <c r="HX33" s="75"/>
      <c r="HY33" s="75"/>
      <c r="HZ33" s="75"/>
      <c r="IA33" s="75"/>
      <c r="IB33" s="75"/>
      <c r="IC33" s="75"/>
      <c r="ID33" s="75"/>
      <c r="IE33" s="75"/>
      <c r="IF33" s="75"/>
      <c r="IG33" s="75"/>
      <c r="IH33" s="75"/>
      <c r="II33" s="75"/>
      <c r="IJ33" s="75"/>
      <c r="IK33" s="75"/>
      <c r="IL33" s="75"/>
      <c r="IM33" s="75"/>
      <c r="IN33" s="75"/>
      <c r="IO33" s="75"/>
      <c r="IP33" s="75"/>
      <c r="IQ33" s="75"/>
      <c r="IR33" s="75"/>
      <c r="IS33" s="75"/>
      <c r="IT33" s="75"/>
      <c r="IU33" s="75"/>
      <c r="IV33" s="75"/>
      <c r="IW33" s="75"/>
      <c r="IX33" s="75"/>
      <c r="IY33" s="75"/>
      <c r="IZ33" s="75"/>
      <c r="JA33" s="75"/>
      <c r="JB33" s="75"/>
      <c r="JC33" s="75"/>
      <c r="JD33" s="75"/>
      <c r="JE33" s="75"/>
      <c r="JF33" s="75"/>
      <c r="JG33" s="75"/>
      <c r="JH33" s="75"/>
      <c r="JI33" s="75"/>
      <c r="JJ33" s="75"/>
      <c r="JK33" s="75"/>
      <c r="JL33" s="75"/>
      <c r="JM33" s="75"/>
      <c r="JN33" s="75"/>
      <c r="JO33" s="75"/>
      <c r="JP33" s="75"/>
      <c r="JQ33" s="75"/>
      <c r="JR33" s="75"/>
      <c r="JS33" s="75"/>
      <c r="JT33" s="75"/>
      <c r="JU33" s="75"/>
      <c r="JV33" s="75"/>
      <c r="JW33" s="75"/>
      <c r="JX33" s="75"/>
      <c r="JY33" s="75"/>
      <c r="JZ33" s="75"/>
      <c r="KA33" s="75"/>
      <c r="KB33" s="75"/>
      <c r="KC33" s="75"/>
      <c r="KD33" s="75"/>
      <c r="KE33" s="75"/>
      <c r="KF33" s="75"/>
      <c r="KG33" s="75"/>
      <c r="KH33" s="75"/>
      <c r="KI33" s="75"/>
      <c r="KJ33" s="75"/>
      <c r="KK33" s="75"/>
    </row>
    <row r="34" spans="1:297" ht="30" customHeight="1" x14ac:dyDescent="0.25">
      <c r="A34" s="33" t="s">
        <v>113</v>
      </c>
      <c r="B34" s="17" t="s">
        <v>114</v>
      </c>
      <c r="C34" s="4">
        <f>_xlfn.XLOOKUP(B34,Lookups!G:G,Lookups!H:H,"",0,1)</f>
        <v>10</v>
      </c>
      <c r="D34" s="4" t="str">
        <f>_xlfn.XLOOKUP(C34,[1]Sheet2!$A$2:$A$11,[1]Sheet2!$B$2:$B$11,"Not found")</f>
        <v>Suggested Learning</v>
      </c>
      <c r="E34" s="4"/>
      <c r="F34" s="13" t="str">
        <f>_xlfn.XLOOKUP(B34,'Holiday Inn Express'!B:B,'Holiday Inn Express'!F:F,"",0,1)</f>
        <v>Self-paced Online Learning.</v>
      </c>
      <c r="G34" s="13" t="s">
        <v>170</v>
      </c>
      <c r="H34" s="13" t="s">
        <v>169</v>
      </c>
      <c r="I34" s="13" t="s">
        <v>170</v>
      </c>
      <c r="J34" s="13" t="s">
        <v>169</v>
      </c>
      <c r="K34" s="13" t="s">
        <v>169</v>
      </c>
      <c r="L34" s="13" t="s">
        <v>169</v>
      </c>
      <c r="M34" s="13" t="s">
        <v>169</v>
      </c>
      <c r="N34" s="13" t="s">
        <v>169</v>
      </c>
      <c r="O34" s="13" t="s">
        <v>169</v>
      </c>
      <c r="P34" s="13" t="s">
        <v>169</v>
      </c>
      <c r="Q34" s="13" t="s">
        <v>169</v>
      </c>
      <c r="R34" s="13" t="s">
        <v>169</v>
      </c>
      <c r="S34" s="13" t="s">
        <v>169</v>
      </c>
      <c r="T34" s="79"/>
      <c r="U34" s="79"/>
      <c r="V34" s="79"/>
      <c r="W34" s="79"/>
      <c r="X34" s="79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75"/>
      <c r="BU34" s="75"/>
      <c r="BV34" s="75"/>
      <c r="BW34" s="75"/>
      <c r="BX34" s="75"/>
      <c r="BY34" s="75"/>
      <c r="BZ34" s="75"/>
      <c r="CA34" s="75"/>
      <c r="CB34" s="75"/>
      <c r="CC34" s="75"/>
      <c r="CD34" s="75"/>
      <c r="CE34" s="75"/>
      <c r="CF34" s="75"/>
      <c r="CG34" s="75"/>
      <c r="CH34" s="75"/>
      <c r="CI34" s="75"/>
      <c r="CJ34" s="75"/>
      <c r="CK34" s="75"/>
      <c r="CL34" s="75"/>
      <c r="CM34" s="75"/>
      <c r="CN34" s="75"/>
      <c r="CO34" s="75"/>
      <c r="CP34" s="75"/>
      <c r="CQ34" s="75"/>
      <c r="CR34" s="75"/>
      <c r="CS34" s="75"/>
      <c r="CT34" s="75"/>
      <c r="CU34" s="75"/>
      <c r="CV34" s="75"/>
      <c r="CW34" s="75"/>
      <c r="CX34" s="75"/>
      <c r="CY34" s="75"/>
      <c r="CZ34" s="75"/>
      <c r="DA34" s="75"/>
      <c r="DB34" s="75"/>
      <c r="DC34" s="75"/>
      <c r="DD34" s="75"/>
      <c r="DE34" s="75"/>
      <c r="DF34" s="75"/>
      <c r="DG34" s="75"/>
      <c r="DH34" s="75"/>
      <c r="DI34" s="75"/>
      <c r="DJ34" s="75"/>
      <c r="DK34" s="75"/>
      <c r="DL34" s="75"/>
      <c r="DM34" s="75"/>
      <c r="DN34" s="75"/>
      <c r="DO34" s="75"/>
      <c r="DP34" s="75"/>
      <c r="DQ34" s="75"/>
      <c r="DR34" s="75"/>
      <c r="DS34" s="75"/>
      <c r="DT34" s="75"/>
      <c r="DU34" s="75"/>
      <c r="DV34" s="75"/>
      <c r="DW34" s="75"/>
      <c r="DX34" s="75"/>
      <c r="DY34" s="75"/>
      <c r="DZ34" s="75"/>
      <c r="EA34" s="75"/>
      <c r="EB34" s="75"/>
      <c r="EC34" s="75"/>
      <c r="ED34" s="75"/>
      <c r="EE34" s="75"/>
      <c r="EF34" s="75"/>
      <c r="EG34" s="75"/>
      <c r="EH34" s="75"/>
      <c r="EI34" s="75"/>
      <c r="EJ34" s="75"/>
      <c r="EK34" s="75"/>
      <c r="EL34" s="75"/>
      <c r="EM34" s="75"/>
      <c r="EN34" s="75"/>
      <c r="EO34" s="75"/>
      <c r="EP34" s="75"/>
      <c r="EQ34" s="75"/>
      <c r="ER34" s="75"/>
      <c r="ES34" s="75"/>
      <c r="ET34" s="75"/>
      <c r="EU34" s="75"/>
      <c r="EV34" s="75"/>
      <c r="EW34" s="75"/>
      <c r="EX34" s="75"/>
      <c r="EY34" s="75"/>
      <c r="EZ34" s="75"/>
      <c r="FA34" s="75"/>
      <c r="FB34" s="75"/>
      <c r="FC34" s="75"/>
      <c r="FD34" s="75"/>
      <c r="FE34" s="75"/>
      <c r="FF34" s="75"/>
      <c r="FG34" s="75"/>
      <c r="FH34" s="75"/>
      <c r="FI34" s="75"/>
      <c r="FJ34" s="75"/>
      <c r="FK34" s="75"/>
      <c r="FL34" s="75"/>
      <c r="FM34" s="75"/>
      <c r="FN34" s="75"/>
      <c r="FO34" s="75"/>
      <c r="FP34" s="75"/>
      <c r="FQ34" s="75"/>
      <c r="FR34" s="75"/>
      <c r="FS34" s="75"/>
      <c r="FT34" s="75"/>
      <c r="FU34" s="75"/>
      <c r="FV34" s="75"/>
      <c r="FW34" s="75"/>
      <c r="FX34" s="75"/>
      <c r="FY34" s="75"/>
      <c r="FZ34" s="75"/>
      <c r="GA34" s="75"/>
      <c r="GB34" s="75"/>
      <c r="GC34" s="75"/>
      <c r="GD34" s="75"/>
      <c r="GE34" s="75"/>
      <c r="GF34" s="75"/>
      <c r="GG34" s="75"/>
      <c r="GH34" s="75"/>
      <c r="GI34" s="75"/>
      <c r="GJ34" s="75"/>
      <c r="GK34" s="75"/>
      <c r="GL34" s="75"/>
      <c r="GM34" s="75"/>
      <c r="GN34" s="75"/>
      <c r="GO34" s="75"/>
      <c r="GP34" s="75"/>
      <c r="GQ34" s="75"/>
      <c r="GR34" s="75"/>
      <c r="GS34" s="75"/>
      <c r="GT34" s="75"/>
      <c r="GU34" s="75"/>
      <c r="GV34" s="75"/>
      <c r="GW34" s="75"/>
      <c r="GX34" s="75"/>
      <c r="GY34" s="75"/>
      <c r="GZ34" s="75"/>
      <c r="HA34" s="75"/>
      <c r="HB34" s="75"/>
      <c r="HC34" s="75"/>
      <c r="HD34" s="75"/>
      <c r="HE34" s="75"/>
      <c r="HF34" s="75"/>
      <c r="HG34" s="75"/>
      <c r="HH34" s="75"/>
      <c r="HI34" s="75"/>
      <c r="HJ34" s="75"/>
      <c r="HK34" s="75"/>
      <c r="HL34" s="75"/>
      <c r="HM34" s="75"/>
      <c r="HN34" s="75"/>
      <c r="HO34" s="75"/>
      <c r="HP34" s="75"/>
      <c r="HQ34" s="75"/>
      <c r="HR34" s="75"/>
      <c r="HS34" s="75"/>
      <c r="HT34" s="75"/>
      <c r="HU34" s="75"/>
      <c r="HV34" s="75"/>
      <c r="HW34" s="75"/>
      <c r="HX34" s="75"/>
      <c r="HY34" s="75"/>
      <c r="HZ34" s="75"/>
      <c r="IA34" s="75"/>
      <c r="IB34" s="75"/>
      <c r="IC34" s="75"/>
      <c r="ID34" s="75"/>
      <c r="IE34" s="75"/>
      <c r="IF34" s="75"/>
      <c r="IG34" s="75"/>
      <c r="IH34" s="75"/>
      <c r="II34" s="75"/>
      <c r="IJ34" s="75"/>
      <c r="IK34" s="75"/>
      <c r="IL34" s="75"/>
      <c r="IM34" s="75"/>
      <c r="IN34" s="75"/>
      <c r="IO34" s="75"/>
      <c r="IP34" s="75"/>
      <c r="IQ34" s="75"/>
      <c r="IR34" s="75"/>
      <c r="IS34" s="75"/>
      <c r="IT34" s="75"/>
      <c r="IU34" s="75"/>
      <c r="IV34" s="75"/>
      <c r="IW34" s="75"/>
      <c r="IX34" s="75"/>
      <c r="IY34" s="75"/>
      <c r="IZ34" s="75"/>
      <c r="JA34" s="75"/>
      <c r="JB34" s="75"/>
      <c r="JC34" s="75"/>
      <c r="JD34" s="75"/>
      <c r="JE34" s="75"/>
      <c r="JF34" s="75"/>
      <c r="JG34" s="75"/>
      <c r="JH34" s="75"/>
      <c r="JI34" s="75"/>
      <c r="JJ34" s="75"/>
      <c r="JK34" s="75"/>
      <c r="JL34" s="75"/>
      <c r="JM34" s="75"/>
      <c r="JN34" s="75"/>
      <c r="JO34" s="75"/>
      <c r="JP34" s="75"/>
      <c r="JQ34" s="75"/>
      <c r="JR34" s="75"/>
      <c r="JS34" s="75"/>
      <c r="JT34" s="75"/>
      <c r="JU34" s="75"/>
      <c r="JV34" s="75"/>
      <c r="JW34" s="75"/>
      <c r="JX34" s="75"/>
      <c r="JY34" s="75"/>
      <c r="JZ34" s="75"/>
      <c r="KA34" s="75"/>
      <c r="KB34" s="75"/>
      <c r="KC34" s="75"/>
      <c r="KD34" s="75"/>
      <c r="KE34" s="75"/>
      <c r="KF34" s="75"/>
      <c r="KG34" s="75"/>
      <c r="KH34" s="75"/>
      <c r="KI34" s="75"/>
      <c r="KJ34" s="75"/>
      <c r="KK34" s="75"/>
    </row>
    <row r="35" spans="1:297" ht="30" customHeight="1" x14ac:dyDescent="0.25">
      <c r="A35" s="33" t="s">
        <v>115</v>
      </c>
      <c r="B35" s="17" t="s">
        <v>116</v>
      </c>
      <c r="C35" s="4">
        <f>_xlfn.XLOOKUP(B35,Lookups!G:G,Lookups!H:H,"",0,1)</f>
        <v>10</v>
      </c>
      <c r="D35" s="4" t="str">
        <f>_xlfn.XLOOKUP(C35,[1]Sheet2!$A$2:$A$11,[1]Sheet2!$B$2:$B$11,"Not found")</f>
        <v>Suggested Learning</v>
      </c>
      <c r="E35" s="4"/>
      <c r="F35" s="13" t="str">
        <f>_xlfn.XLOOKUP(B35,'Holiday Inn Express'!B:B,'Holiday Inn Express'!F:F,"",0,1)</f>
        <v>Self-paced Online Learning.</v>
      </c>
      <c r="G35" s="13" t="s">
        <v>170</v>
      </c>
      <c r="H35" s="13" t="s">
        <v>169</v>
      </c>
      <c r="I35" s="13" t="s">
        <v>170</v>
      </c>
      <c r="J35" s="13" t="s">
        <v>169</v>
      </c>
      <c r="K35" s="13" t="s">
        <v>169</v>
      </c>
      <c r="L35" s="13" t="s">
        <v>169</v>
      </c>
      <c r="M35" s="13" t="s">
        <v>169</v>
      </c>
      <c r="N35" s="13" t="s">
        <v>169</v>
      </c>
      <c r="O35" s="13" t="s">
        <v>169</v>
      </c>
      <c r="P35" s="13" t="s">
        <v>169</v>
      </c>
      <c r="Q35" s="13" t="s">
        <v>169</v>
      </c>
      <c r="R35" s="13" t="s">
        <v>169</v>
      </c>
      <c r="S35" s="13" t="s">
        <v>169</v>
      </c>
      <c r="T35" s="79"/>
      <c r="U35" s="79"/>
      <c r="V35" s="79"/>
      <c r="W35" s="79"/>
      <c r="X35" s="79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  <c r="BM35" s="75"/>
      <c r="BN35" s="75"/>
      <c r="BO35" s="75"/>
      <c r="BP35" s="75"/>
      <c r="BQ35" s="75"/>
      <c r="BR35" s="75"/>
      <c r="BS35" s="75"/>
      <c r="BT35" s="75"/>
      <c r="BU35" s="75"/>
      <c r="BV35" s="75"/>
      <c r="BW35" s="75"/>
      <c r="BX35" s="75"/>
      <c r="BY35" s="75"/>
      <c r="BZ35" s="75"/>
      <c r="CA35" s="75"/>
      <c r="CB35" s="75"/>
      <c r="CC35" s="75"/>
      <c r="CD35" s="75"/>
      <c r="CE35" s="75"/>
      <c r="CF35" s="75"/>
      <c r="CG35" s="75"/>
      <c r="CH35" s="75"/>
      <c r="CI35" s="75"/>
      <c r="CJ35" s="75"/>
      <c r="CK35" s="75"/>
      <c r="CL35" s="75"/>
      <c r="CM35" s="75"/>
      <c r="CN35" s="75"/>
      <c r="CO35" s="75"/>
      <c r="CP35" s="75"/>
      <c r="CQ35" s="75"/>
      <c r="CR35" s="75"/>
      <c r="CS35" s="75"/>
      <c r="CT35" s="75"/>
      <c r="CU35" s="75"/>
      <c r="CV35" s="75"/>
      <c r="CW35" s="75"/>
      <c r="CX35" s="75"/>
      <c r="CY35" s="75"/>
      <c r="CZ35" s="75"/>
      <c r="DA35" s="75"/>
      <c r="DB35" s="75"/>
      <c r="DC35" s="75"/>
      <c r="DD35" s="75"/>
      <c r="DE35" s="75"/>
      <c r="DF35" s="75"/>
      <c r="DG35" s="75"/>
      <c r="DH35" s="75"/>
      <c r="DI35" s="75"/>
      <c r="DJ35" s="75"/>
      <c r="DK35" s="75"/>
      <c r="DL35" s="75"/>
      <c r="DM35" s="75"/>
      <c r="DN35" s="75"/>
      <c r="DO35" s="75"/>
      <c r="DP35" s="75"/>
      <c r="DQ35" s="75"/>
      <c r="DR35" s="75"/>
      <c r="DS35" s="75"/>
      <c r="DT35" s="75"/>
      <c r="DU35" s="75"/>
      <c r="DV35" s="75"/>
      <c r="DW35" s="75"/>
      <c r="DX35" s="75"/>
      <c r="DY35" s="75"/>
      <c r="DZ35" s="75"/>
      <c r="EA35" s="75"/>
      <c r="EB35" s="75"/>
      <c r="EC35" s="75"/>
      <c r="ED35" s="75"/>
      <c r="EE35" s="75"/>
      <c r="EF35" s="75"/>
      <c r="EG35" s="75"/>
      <c r="EH35" s="75"/>
      <c r="EI35" s="75"/>
      <c r="EJ35" s="75"/>
      <c r="EK35" s="75"/>
      <c r="EL35" s="75"/>
      <c r="EM35" s="75"/>
      <c r="EN35" s="75"/>
      <c r="EO35" s="75"/>
      <c r="EP35" s="75"/>
      <c r="EQ35" s="75"/>
      <c r="ER35" s="75"/>
      <c r="ES35" s="75"/>
      <c r="ET35" s="75"/>
      <c r="EU35" s="75"/>
      <c r="EV35" s="75"/>
      <c r="EW35" s="75"/>
      <c r="EX35" s="75"/>
      <c r="EY35" s="75"/>
      <c r="EZ35" s="75"/>
      <c r="FA35" s="75"/>
      <c r="FB35" s="75"/>
      <c r="FC35" s="75"/>
      <c r="FD35" s="75"/>
      <c r="FE35" s="75"/>
      <c r="FF35" s="75"/>
      <c r="FG35" s="75"/>
      <c r="FH35" s="75"/>
      <c r="FI35" s="75"/>
      <c r="FJ35" s="75"/>
      <c r="FK35" s="75"/>
      <c r="FL35" s="75"/>
      <c r="FM35" s="75"/>
      <c r="FN35" s="75"/>
      <c r="FO35" s="75"/>
      <c r="FP35" s="75"/>
      <c r="FQ35" s="75"/>
      <c r="FR35" s="75"/>
      <c r="FS35" s="75"/>
      <c r="FT35" s="75"/>
      <c r="FU35" s="75"/>
      <c r="FV35" s="75"/>
      <c r="FW35" s="75"/>
      <c r="FX35" s="75"/>
      <c r="FY35" s="75"/>
      <c r="FZ35" s="75"/>
      <c r="GA35" s="75"/>
      <c r="GB35" s="75"/>
      <c r="GC35" s="75"/>
      <c r="GD35" s="75"/>
      <c r="GE35" s="75"/>
      <c r="GF35" s="75"/>
      <c r="GG35" s="75"/>
      <c r="GH35" s="75"/>
      <c r="GI35" s="75"/>
      <c r="GJ35" s="75"/>
      <c r="GK35" s="75"/>
      <c r="GL35" s="75"/>
      <c r="GM35" s="75"/>
      <c r="GN35" s="75"/>
      <c r="GO35" s="75"/>
      <c r="GP35" s="75"/>
      <c r="GQ35" s="75"/>
      <c r="GR35" s="75"/>
      <c r="GS35" s="75"/>
      <c r="GT35" s="75"/>
      <c r="GU35" s="75"/>
      <c r="GV35" s="75"/>
      <c r="GW35" s="75"/>
      <c r="GX35" s="75"/>
      <c r="GY35" s="75"/>
      <c r="GZ35" s="75"/>
      <c r="HA35" s="75"/>
      <c r="HB35" s="75"/>
      <c r="HC35" s="75"/>
      <c r="HD35" s="75"/>
      <c r="HE35" s="75"/>
      <c r="HF35" s="75"/>
      <c r="HG35" s="75"/>
      <c r="HH35" s="75"/>
      <c r="HI35" s="75"/>
      <c r="HJ35" s="75"/>
      <c r="HK35" s="75"/>
      <c r="HL35" s="75"/>
      <c r="HM35" s="75"/>
      <c r="HN35" s="75"/>
      <c r="HO35" s="75"/>
      <c r="HP35" s="75"/>
      <c r="HQ35" s="75"/>
      <c r="HR35" s="75"/>
      <c r="HS35" s="75"/>
      <c r="HT35" s="75"/>
      <c r="HU35" s="75"/>
      <c r="HV35" s="75"/>
      <c r="HW35" s="75"/>
      <c r="HX35" s="75"/>
      <c r="HY35" s="75"/>
      <c r="HZ35" s="75"/>
      <c r="IA35" s="75"/>
      <c r="IB35" s="75"/>
      <c r="IC35" s="75"/>
      <c r="ID35" s="75"/>
      <c r="IE35" s="75"/>
      <c r="IF35" s="75"/>
      <c r="IG35" s="75"/>
      <c r="IH35" s="75"/>
      <c r="II35" s="75"/>
      <c r="IJ35" s="75"/>
      <c r="IK35" s="75"/>
      <c r="IL35" s="75"/>
      <c r="IM35" s="75"/>
      <c r="IN35" s="75"/>
      <c r="IO35" s="75"/>
      <c r="IP35" s="75"/>
      <c r="IQ35" s="75"/>
      <c r="IR35" s="75"/>
      <c r="IS35" s="75"/>
      <c r="IT35" s="75"/>
      <c r="IU35" s="75"/>
      <c r="IV35" s="75"/>
      <c r="IW35" s="75"/>
      <c r="IX35" s="75"/>
      <c r="IY35" s="75"/>
      <c r="IZ35" s="75"/>
      <c r="JA35" s="75"/>
      <c r="JB35" s="75"/>
      <c r="JC35" s="75"/>
      <c r="JD35" s="75"/>
      <c r="JE35" s="75"/>
      <c r="JF35" s="75"/>
      <c r="JG35" s="75"/>
      <c r="JH35" s="75"/>
      <c r="JI35" s="75"/>
      <c r="JJ35" s="75"/>
      <c r="JK35" s="75"/>
      <c r="JL35" s="75"/>
      <c r="JM35" s="75"/>
      <c r="JN35" s="75"/>
      <c r="JO35" s="75"/>
      <c r="JP35" s="75"/>
      <c r="JQ35" s="75"/>
      <c r="JR35" s="75"/>
      <c r="JS35" s="75"/>
      <c r="JT35" s="75"/>
      <c r="JU35" s="75"/>
      <c r="JV35" s="75"/>
      <c r="JW35" s="75"/>
      <c r="JX35" s="75"/>
      <c r="JY35" s="75"/>
      <c r="JZ35" s="75"/>
      <c r="KA35" s="75"/>
      <c r="KB35" s="75"/>
      <c r="KC35" s="75"/>
      <c r="KD35" s="75"/>
      <c r="KE35" s="75"/>
      <c r="KF35" s="75"/>
      <c r="KG35" s="75"/>
      <c r="KH35" s="75"/>
      <c r="KI35" s="75"/>
      <c r="KJ35" s="75"/>
      <c r="KK35" s="75"/>
    </row>
    <row r="36" spans="1:297" ht="30" customHeight="1" x14ac:dyDescent="0.25">
      <c r="A36" s="33" t="s">
        <v>117</v>
      </c>
      <c r="B36" s="17" t="s">
        <v>118</v>
      </c>
      <c r="C36" s="4">
        <f>_xlfn.XLOOKUP(B36,Lookups!G:G,Lookups!H:H,"",0,1)</f>
        <v>10</v>
      </c>
      <c r="D36" s="4" t="str">
        <f>_xlfn.XLOOKUP(C36,[1]Sheet2!$A$2:$A$11,[1]Sheet2!$B$2:$B$11,"Not found")</f>
        <v>Suggested Learning</v>
      </c>
      <c r="E36" s="4"/>
      <c r="F36" s="13" t="str">
        <f>_xlfn.XLOOKUP(B36,'Holiday Inn Express'!B:B,'Holiday Inn Express'!F:F,"",0,1)</f>
        <v>Self-paced Online Learning.</v>
      </c>
      <c r="G36" s="13" t="s">
        <v>170</v>
      </c>
      <c r="H36" s="13" t="s">
        <v>169</v>
      </c>
      <c r="I36" s="13" t="s">
        <v>170</v>
      </c>
      <c r="J36" s="13" t="s">
        <v>169</v>
      </c>
      <c r="K36" s="13" t="s">
        <v>169</v>
      </c>
      <c r="L36" s="13" t="s">
        <v>169</v>
      </c>
      <c r="M36" s="13" t="s">
        <v>169</v>
      </c>
      <c r="N36" s="13" t="s">
        <v>169</v>
      </c>
      <c r="O36" s="13" t="s">
        <v>169</v>
      </c>
      <c r="P36" s="13" t="s">
        <v>169</v>
      </c>
      <c r="Q36" s="13" t="s">
        <v>169</v>
      </c>
      <c r="R36" s="13" t="s">
        <v>169</v>
      </c>
      <c r="S36" s="13" t="s">
        <v>169</v>
      </c>
      <c r="T36" s="79"/>
      <c r="U36" s="79"/>
      <c r="V36" s="79"/>
      <c r="W36" s="79"/>
      <c r="X36" s="79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5"/>
      <c r="BQ36" s="75"/>
      <c r="BR36" s="75"/>
      <c r="BS36" s="75"/>
      <c r="BT36" s="75"/>
      <c r="BU36" s="75"/>
      <c r="BV36" s="75"/>
      <c r="BW36" s="75"/>
      <c r="BX36" s="75"/>
      <c r="BY36" s="75"/>
      <c r="BZ36" s="75"/>
      <c r="CA36" s="75"/>
      <c r="CB36" s="75"/>
      <c r="CC36" s="75"/>
      <c r="CD36" s="75"/>
      <c r="CE36" s="75"/>
      <c r="CF36" s="75"/>
      <c r="CG36" s="75"/>
      <c r="CH36" s="75"/>
      <c r="CI36" s="75"/>
      <c r="CJ36" s="75"/>
      <c r="CK36" s="75"/>
      <c r="CL36" s="75"/>
      <c r="CM36" s="75"/>
      <c r="CN36" s="75"/>
      <c r="CO36" s="75"/>
      <c r="CP36" s="75"/>
      <c r="CQ36" s="75"/>
      <c r="CR36" s="75"/>
      <c r="CS36" s="75"/>
      <c r="CT36" s="75"/>
      <c r="CU36" s="75"/>
      <c r="CV36" s="75"/>
      <c r="CW36" s="75"/>
      <c r="CX36" s="75"/>
      <c r="CY36" s="75"/>
      <c r="CZ36" s="75"/>
      <c r="DA36" s="75"/>
      <c r="DB36" s="75"/>
      <c r="DC36" s="75"/>
      <c r="DD36" s="75"/>
      <c r="DE36" s="75"/>
      <c r="DF36" s="75"/>
      <c r="DG36" s="75"/>
      <c r="DH36" s="75"/>
      <c r="DI36" s="75"/>
      <c r="DJ36" s="75"/>
      <c r="DK36" s="75"/>
      <c r="DL36" s="75"/>
      <c r="DM36" s="75"/>
      <c r="DN36" s="75"/>
      <c r="DO36" s="75"/>
      <c r="DP36" s="75"/>
      <c r="DQ36" s="75"/>
      <c r="DR36" s="75"/>
      <c r="DS36" s="75"/>
      <c r="DT36" s="75"/>
      <c r="DU36" s="75"/>
      <c r="DV36" s="75"/>
      <c r="DW36" s="75"/>
      <c r="DX36" s="75"/>
      <c r="DY36" s="75"/>
      <c r="DZ36" s="75"/>
      <c r="EA36" s="75"/>
      <c r="EB36" s="75"/>
      <c r="EC36" s="75"/>
      <c r="ED36" s="75"/>
      <c r="EE36" s="75"/>
      <c r="EF36" s="75"/>
      <c r="EG36" s="75"/>
      <c r="EH36" s="75"/>
      <c r="EI36" s="75"/>
      <c r="EJ36" s="75"/>
      <c r="EK36" s="75"/>
      <c r="EL36" s="75"/>
      <c r="EM36" s="75"/>
      <c r="EN36" s="75"/>
      <c r="EO36" s="75"/>
      <c r="EP36" s="75"/>
      <c r="EQ36" s="75"/>
      <c r="ER36" s="75"/>
      <c r="ES36" s="75"/>
      <c r="ET36" s="75"/>
      <c r="EU36" s="75"/>
      <c r="EV36" s="75"/>
      <c r="EW36" s="75"/>
      <c r="EX36" s="75"/>
      <c r="EY36" s="75"/>
      <c r="EZ36" s="75"/>
      <c r="FA36" s="75"/>
      <c r="FB36" s="75"/>
      <c r="FC36" s="75"/>
      <c r="FD36" s="75"/>
      <c r="FE36" s="75"/>
      <c r="FF36" s="75"/>
      <c r="FG36" s="75"/>
      <c r="FH36" s="75"/>
      <c r="FI36" s="75"/>
      <c r="FJ36" s="75"/>
      <c r="FK36" s="75"/>
      <c r="FL36" s="75"/>
      <c r="FM36" s="75"/>
      <c r="FN36" s="75"/>
      <c r="FO36" s="75"/>
      <c r="FP36" s="75"/>
      <c r="FQ36" s="75"/>
      <c r="FR36" s="75"/>
      <c r="FS36" s="75"/>
      <c r="FT36" s="75"/>
      <c r="FU36" s="75"/>
      <c r="FV36" s="75"/>
      <c r="FW36" s="75"/>
      <c r="FX36" s="75"/>
      <c r="FY36" s="75"/>
      <c r="FZ36" s="75"/>
      <c r="GA36" s="75"/>
      <c r="GB36" s="75"/>
      <c r="GC36" s="75"/>
      <c r="GD36" s="75"/>
      <c r="GE36" s="75"/>
      <c r="GF36" s="75"/>
      <c r="GG36" s="75"/>
      <c r="GH36" s="75"/>
      <c r="GI36" s="75"/>
      <c r="GJ36" s="75"/>
      <c r="GK36" s="75"/>
      <c r="GL36" s="75"/>
      <c r="GM36" s="75"/>
      <c r="GN36" s="75"/>
      <c r="GO36" s="75"/>
      <c r="GP36" s="75"/>
      <c r="GQ36" s="75"/>
      <c r="GR36" s="75"/>
      <c r="GS36" s="75"/>
      <c r="GT36" s="75"/>
      <c r="GU36" s="75"/>
      <c r="GV36" s="75"/>
      <c r="GW36" s="75"/>
      <c r="GX36" s="75"/>
      <c r="GY36" s="75"/>
      <c r="GZ36" s="75"/>
      <c r="HA36" s="75"/>
      <c r="HB36" s="75"/>
      <c r="HC36" s="75"/>
      <c r="HD36" s="75"/>
      <c r="HE36" s="75"/>
      <c r="HF36" s="75"/>
      <c r="HG36" s="75"/>
      <c r="HH36" s="75"/>
      <c r="HI36" s="75"/>
      <c r="HJ36" s="75"/>
      <c r="HK36" s="75"/>
      <c r="HL36" s="75"/>
      <c r="HM36" s="75"/>
      <c r="HN36" s="75"/>
      <c r="HO36" s="75"/>
      <c r="HP36" s="75"/>
      <c r="HQ36" s="75"/>
      <c r="HR36" s="75"/>
      <c r="HS36" s="75"/>
      <c r="HT36" s="75"/>
      <c r="HU36" s="75"/>
      <c r="HV36" s="75"/>
      <c r="HW36" s="75"/>
      <c r="HX36" s="75"/>
      <c r="HY36" s="75"/>
      <c r="HZ36" s="75"/>
      <c r="IA36" s="75"/>
      <c r="IB36" s="75"/>
      <c r="IC36" s="75"/>
      <c r="ID36" s="75"/>
      <c r="IE36" s="75"/>
      <c r="IF36" s="75"/>
      <c r="IG36" s="75"/>
      <c r="IH36" s="75"/>
      <c r="II36" s="75"/>
      <c r="IJ36" s="75"/>
      <c r="IK36" s="75"/>
      <c r="IL36" s="75"/>
      <c r="IM36" s="75"/>
      <c r="IN36" s="75"/>
      <c r="IO36" s="75"/>
      <c r="IP36" s="75"/>
      <c r="IQ36" s="75"/>
      <c r="IR36" s="75"/>
      <c r="IS36" s="75"/>
      <c r="IT36" s="75"/>
      <c r="IU36" s="75"/>
      <c r="IV36" s="75"/>
      <c r="IW36" s="75"/>
      <c r="IX36" s="75"/>
      <c r="IY36" s="75"/>
      <c r="IZ36" s="75"/>
      <c r="JA36" s="75"/>
      <c r="JB36" s="75"/>
      <c r="JC36" s="75"/>
      <c r="JD36" s="75"/>
      <c r="JE36" s="75"/>
      <c r="JF36" s="75"/>
      <c r="JG36" s="75"/>
      <c r="JH36" s="75"/>
      <c r="JI36" s="75"/>
      <c r="JJ36" s="75"/>
      <c r="JK36" s="75"/>
      <c r="JL36" s="75"/>
      <c r="JM36" s="75"/>
      <c r="JN36" s="75"/>
      <c r="JO36" s="75"/>
      <c r="JP36" s="75"/>
      <c r="JQ36" s="75"/>
      <c r="JR36" s="75"/>
      <c r="JS36" s="75"/>
      <c r="JT36" s="75"/>
      <c r="JU36" s="75"/>
      <c r="JV36" s="75"/>
      <c r="JW36" s="75"/>
      <c r="JX36" s="75"/>
      <c r="JY36" s="75"/>
      <c r="JZ36" s="75"/>
      <c r="KA36" s="75"/>
      <c r="KB36" s="75"/>
      <c r="KC36" s="75"/>
      <c r="KD36" s="75"/>
      <c r="KE36" s="75"/>
      <c r="KF36" s="75"/>
      <c r="KG36" s="75"/>
      <c r="KH36" s="75"/>
      <c r="KI36" s="75"/>
      <c r="KJ36" s="75"/>
      <c r="KK36" s="75"/>
    </row>
    <row r="37" spans="1:297" ht="30" customHeight="1" x14ac:dyDescent="0.25">
      <c r="A37" s="33" t="s">
        <v>119</v>
      </c>
      <c r="B37" s="17" t="s">
        <v>120</v>
      </c>
      <c r="C37" s="4">
        <f>_xlfn.XLOOKUP(B37,Lookups!G:G,Lookups!H:H,"",0,1)</f>
        <v>10</v>
      </c>
      <c r="D37" s="4" t="str">
        <f>_xlfn.XLOOKUP(C37,[1]Sheet2!$A$2:$A$11,[1]Sheet2!$B$2:$B$11,"Not found")</f>
        <v>Suggested Learning</v>
      </c>
      <c r="E37" s="4"/>
      <c r="F37" s="13" t="str">
        <f>_xlfn.XLOOKUP(B37,'Holiday Inn Express'!B:B,'Holiday Inn Express'!F:F,"",0,1)</f>
        <v>Self-paced Online Learning.</v>
      </c>
      <c r="G37" s="13" t="s">
        <v>170</v>
      </c>
      <c r="H37" s="13" t="s">
        <v>169</v>
      </c>
      <c r="I37" s="13" t="s">
        <v>170</v>
      </c>
      <c r="J37" s="13" t="s">
        <v>169</v>
      </c>
      <c r="K37" s="13" t="s">
        <v>169</v>
      </c>
      <c r="L37" s="13" t="s">
        <v>169</v>
      </c>
      <c r="M37" s="13" t="s">
        <v>169</v>
      </c>
      <c r="N37" s="13" t="s">
        <v>169</v>
      </c>
      <c r="O37" s="13" t="s">
        <v>169</v>
      </c>
      <c r="P37" s="13" t="s">
        <v>169</v>
      </c>
      <c r="Q37" s="13" t="s">
        <v>169</v>
      </c>
      <c r="R37" s="13" t="s">
        <v>169</v>
      </c>
      <c r="S37" s="13" t="s">
        <v>169</v>
      </c>
      <c r="T37" s="79"/>
      <c r="U37" s="79"/>
      <c r="V37" s="79"/>
      <c r="W37" s="79"/>
      <c r="X37" s="79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75"/>
      <c r="BR37" s="75"/>
      <c r="BS37" s="75"/>
      <c r="BT37" s="75"/>
      <c r="BU37" s="75"/>
      <c r="BV37" s="75"/>
      <c r="BW37" s="75"/>
      <c r="BX37" s="75"/>
      <c r="BY37" s="75"/>
      <c r="BZ37" s="75"/>
      <c r="CA37" s="75"/>
      <c r="CB37" s="75"/>
      <c r="CC37" s="75"/>
      <c r="CD37" s="75"/>
      <c r="CE37" s="75"/>
      <c r="CF37" s="75"/>
      <c r="CG37" s="75"/>
      <c r="CH37" s="75"/>
      <c r="CI37" s="75"/>
      <c r="CJ37" s="75"/>
      <c r="CK37" s="75"/>
      <c r="CL37" s="75"/>
      <c r="CM37" s="75"/>
      <c r="CN37" s="75"/>
      <c r="CO37" s="75"/>
      <c r="CP37" s="75"/>
      <c r="CQ37" s="75"/>
      <c r="CR37" s="75"/>
      <c r="CS37" s="75"/>
      <c r="CT37" s="75"/>
      <c r="CU37" s="75"/>
      <c r="CV37" s="75"/>
      <c r="CW37" s="75"/>
      <c r="CX37" s="75"/>
      <c r="CY37" s="75"/>
      <c r="CZ37" s="75"/>
      <c r="DA37" s="75"/>
      <c r="DB37" s="75"/>
      <c r="DC37" s="75"/>
      <c r="DD37" s="75"/>
      <c r="DE37" s="75"/>
      <c r="DF37" s="75"/>
      <c r="DG37" s="75"/>
      <c r="DH37" s="75"/>
      <c r="DI37" s="75"/>
      <c r="DJ37" s="75"/>
      <c r="DK37" s="75"/>
      <c r="DL37" s="75"/>
      <c r="DM37" s="75"/>
      <c r="DN37" s="75"/>
      <c r="DO37" s="75"/>
      <c r="DP37" s="75"/>
      <c r="DQ37" s="75"/>
      <c r="DR37" s="75"/>
      <c r="DS37" s="75"/>
      <c r="DT37" s="75"/>
      <c r="DU37" s="75"/>
      <c r="DV37" s="75"/>
      <c r="DW37" s="75"/>
      <c r="DX37" s="75"/>
      <c r="DY37" s="75"/>
      <c r="DZ37" s="75"/>
      <c r="EA37" s="75"/>
      <c r="EB37" s="75"/>
      <c r="EC37" s="75"/>
      <c r="ED37" s="75"/>
      <c r="EE37" s="75"/>
      <c r="EF37" s="75"/>
      <c r="EG37" s="75"/>
      <c r="EH37" s="75"/>
      <c r="EI37" s="75"/>
      <c r="EJ37" s="75"/>
      <c r="EK37" s="75"/>
      <c r="EL37" s="75"/>
      <c r="EM37" s="75"/>
      <c r="EN37" s="75"/>
      <c r="EO37" s="75"/>
      <c r="EP37" s="75"/>
      <c r="EQ37" s="75"/>
      <c r="ER37" s="75"/>
      <c r="ES37" s="75"/>
      <c r="ET37" s="75"/>
      <c r="EU37" s="75"/>
      <c r="EV37" s="75"/>
      <c r="EW37" s="75"/>
      <c r="EX37" s="75"/>
      <c r="EY37" s="75"/>
      <c r="EZ37" s="75"/>
      <c r="FA37" s="75"/>
      <c r="FB37" s="75"/>
      <c r="FC37" s="75"/>
      <c r="FD37" s="75"/>
      <c r="FE37" s="75"/>
      <c r="FF37" s="75"/>
      <c r="FG37" s="75"/>
      <c r="FH37" s="75"/>
      <c r="FI37" s="75"/>
      <c r="FJ37" s="75"/>
      <c r="FK37" s="75"/>
      <c r="FL37" s="75"/>
      <c r="FM37" s="75"/>
      <c r="FN37" s="75"/>
      <c r="FO37" s="75"/>
      <c r="FP37" s="75"/>
      <c r="FQ37" s="75"/>
      <c r="FR37" s="75"/>
      <c r="FS37" s="75"/>
      <c r="FT37" s="75"/>
      <c r="FU37" s="75"/>
      <c r="FV37" s="75"/>
      <c r="FW37" s="75"/>
      <c r="FX37" s="75"/>
      <c r="FY37" s="75"/>
      <c r="FZ37" s="75"/>
      <c r="GA37" s="75"/>
      <c r="GB37" s="75"/>
      <c r="GC37" s="75"/>
      <c r="GD37" s="75"/>
      <c r="GE37" s="75"/>
      <c r="GF37" s="75"/>
      <c r="GG37" s="75"/>
      <c r="GH37" s="75"/>
      <c r="GI37" s="75"/>
      <c r="GJ37" s="75"/>
      <c r="GK37" s="75"/>
      <c r="GL37" s="75"/>
      <c r="GM37" s="75"/>
      <c r="GN37" s="75"/>
      <c r="GO37" s="75"/>
      <c r="GP37" s="75"/>
      <c r="GQ37" s="75"/>
      <c r="GR37" s="75"/>
      <c r="GS37" s="75"/>
      <c r="GT37" s="75"/>
      <c r="GU37" s="75"/>
      <c r="GV37" s="75"/>
      <c r="GW37" s="75"/>
      <c r="GX37" s="75"/>
      <c r="GY37" s="75"/>
      <c r="GZ37" s="75"/>
      <c r="HA37" s="75"/>
      <c r="HB37" s="75"/>
      <c r="HC37" s="75"/>
      <c r="HD37" s="75"/>
      <c r="HE37" s="75"/>
      <c r="HF37" s="75"/>
      <c r="HG37" s="75"/>
      <c r="HH37" s="75"/>
      <c r="HI37" s="75"/>
      <c r="HJ37" s="75"/>
      <c r="HK37" s="75"/>
      <c r="HL37" s="75"/>
      <c r="HM37" s="75"/>
      <c r="HN37" s="75"/>
      <c r="HO37" s="75"/>
      <c r="HP37" s="75"/>
      <c r="HQ37" s="75"/>
      <c r="HR37" s="75"/>
      <c r="HS37" s="75"/>
      <c r="HT37" s="75"/>
      <c r="HU37" s="75"/>
      <c r="HV37" s="75"/>
      <c r="HW37" s="75"/>
      <c r="HX37" s="75"/>
      <c r="HY37" s="75"/>
      <c r="HZ37" s="75"/>
      <c r="IA37" s="75"/>
      <c r="IB37" s="75"/>
      <c r="IC37" s="75"/>
      <c r="ID37" s="75"/>
      <c r="IE37" s="75"/>
      <c r="IF37" s="75"/>
      <c r="IG37" s="75"/>
      <c r="IH37" s="75"/>
      <c r="II37" s="75"/>
      <c r="IJ37" s="75"/>
      <c r="IK37" s="75"/>
      <c r="IL37" s="75"/>
      <c r="IM37" s="75"/>
      <c r="IN37" s="75"/>
      <c r="IO37" s="75"/>
      <c r="IP37" s="75"/>
      <c r="IQ37" s="75"/>
      <c r="IR37" s="75"/>
      <c r="IS37" s="75"/>
      <c r="IT37" s="75"/>
      <c r="IU37" s="75"/>
      <c r="IV37" s="75"/>
      <c r="IW37" s="75"/>
      <c r="IX37" s="75"/>
      <c r="IY37" s="75"/>
      <c r="IZ37" s="75"/>
      <c r="JA37" s="75"/>
      <c r="JB37" s="75"/>
      <c r="JC37" s="75"/>
      <c r="JD37" s="75"/>
      <c r="JE37" s="75"/>
      <c r="JF37" s="75"/>
      <c r="JG37" s="75"/>
      <c r="JH37" s="75"/>
      <c r="JI37" s="75"/>
      <c r="JJ37" s="75"/>
      <c r="JK37" s="75"/>
      <c r="JL37" s="75"/>
      <c r="JM37" s="75"/>
      <c r="JN37" s="75"/>
      <c r="JO37" s="75"/>
      <c r="JP37" s="75"/>
      <c r="JQ37" s="75"/>
      <c r="JR37" s="75"/>
      <c r="JS37" s="75"/>
      <c r="JT37" s="75"/>
      <c r="JU37" s="75"/>
      <c r="JV37" s="75"/>
      <c r="JW37" s="75"/>
      <c r="JX37" s="75"/>
      <c r="JY37" s="75"/>
      <c r="JZ37" s="75"/>
      <c r="KA37" s="75"/>
      <c r="KB37" s="75"/>
      <c r="KC37" s="75"/>
      <c r="KD37" s="75"/>
      <c r="KE37" s="75"/>
      <c r="KF37" s="75"/>
      <c r="KG37" s="75"/>
      <c r="KH37" s="75"/>
      <c r="KI37" s="75"/>
      <c r="KJ37" s="75"/>
      <c r="KK37" s="75"/>
    </row>
    <row r="38" spans="1:297" ht="30" customHeight="1" x14ac:dyDescent="0.25">
      <c r="A38" s="33" t="s">
        <v>121</v>
      </c>
      <c r="B38" s="17" t="s">
        <v>307</v>
      </c>
      <c r="C38" s="4">
        <f>_xlfn.XLOOKUP(B38,Lookups!G:G,Lookups!H:H,"",0,1)</f>
        <v>10</v>
      </c>
      <c r="D38" s="4" t="str">
        <f>_xlfn.XLOOKUP(C38,[1]Sheet2!$A$2:$A$11,[1]Sheet2!$B$2:$B$11,"Not found")</f>
        <v>Suggested Learning</v>
      </c>
      <c r="E38" s="4"/>
      <c r="F38" s="13" t="str">
        <f>_xlfn.XLOOKUP(B38,'Holiday Inn Express'!B:B,'Holiday Inn Express'!F:F,"",0,1)</f>
        <v>Self-paced Online Learning.</v>
      </c>
      <c r="G38" s="13" t="s">
        <v>170</v>
      </c>
      <c r="H38" s="13" t="s">
        <v>169</v>
      </c>
      <c r="I38" s="13" t="s">
        <v>170</v>
      </c>
      <c r="J38" s="13" t="s">
        <v>169</v>
      </c>
      <c r="K38" s="13" t="s">
        <v>169</v>
      </c>
      <c r="L38" s="13" t="s">
        <v>169</v>
      </c>
      <c r="M38" s="13" t="s">
        <v>169</v>
      </c>
      <c r="N38" s="13" t="s">
        <v>169</v>
      </c>
      <c r="O38" s="13" t="s">
        <v>169</v>
      </c>
      <c r="P38" s="13" t="s">
        <v>169</v>
      </c>
      <c r="Q38" s="13" t="s">
        <v>169</v>
      </c>
      <c r="R38" s="13" t="s">
        <v>169</v>
      </c>
      <c r="S38" s="13" t="s">
        <v>169</v>
      </c>
      <c r="T38" s="79"/>
      <c r="U38" s="79"/>
      <c r="V38" s="79"/>
      <c r="W38" s="79"/>
      <c r="X38" s="79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75"/>
      <c r="BR38" s="75"/>
      <c r="BS38" s="75"/>
      <c r="BT38" s="75"/>
      <c r="BU38" s="75"/>
      <c r="BV38" s="75"/>
      <c r="BW38" s="75"/>
      <c r="BX38" s="75"/>
      <c r="BY38" s="75"/>
      <c r="BZ38" s="75"/>
      <c r="CA38" s="75"/>
      <c r="CB38" s="75"/>
      <c r="CC38" s="75"/>
      <c r="CD38" s="75"/>
      <c r="CE38" s="75"/>
      <c r="CF38" s="75"/>
      <c r="CG38" s="75"/>
      <c r="CH38" s="75"/>
      <c r="CI38" s="75"/>
      <c r="CJ38" s="75"/>
      <c r="CK38" s="75"/>
      <c r="CL38" s="75"/>
      <c r="CM38" s="75"/>
      <c r="CN38" s="75"/>
      <c r="CO38" s="75"/>
      <c r="CP38" s="75"/>
      <c r="CQ38" s="75"/>
      <c r="CR38" s="75"/>
      <c r="CS38" s="75"/>
      <c r="CT38" s="75"/>
      <c r="CU38" s="75"/>
      <c r="CV38" s="75"/>
      <c r="CW38" s="75"/>
      <c r="CX38" s="75"/>
      <c r="CY38" s="75"/>
      <c r="CZ38" s="75"/>
      <c r="DA38" s="75"/>
      <c r="DB38" s="75"/>
      <c r="DC38" s="75"/>
      <c r="DD38" s="75"/>
      <c r="DE38" s="75"/>
      <c r="DF38" s="75"/>
      <c r="DG38" s="75"/>
      <c r="DH38" s="75"/>
      <c r="DI38" s="75"/>
      <c r="DJ38" s="75"/>
      <c r="DK38" s="75"/>
      <c r="DL38" s="75"/>
      <c r="DM38" s="75"/>
      <c r="DN38" s="75"/>
      <c r="DO38" s="75"/>
      <c r="DP38" s="75"/>
      <c r="DQ38" s="75"/>
      <c r="DR38" s="75"/>
      <c r="DS38" s="75"/>
      <c r="DT38" s="75"/>
      <c r="DU38" s="75"/>
      <c r="DV38" s="75"/>
      <c r="DW38" s="75"/>
      <c r="DX38" s="75"/>
      <c r="DY38" s="75"/>
      <c r="DZ38" s="75"/>
      <c r="EA38" s="75"/>
      <c r="EB38" s="75"/>
      <c r="EC38" s="75"/>
      <c r="ED38" s="75"/>
      <c r="EE38" s="75"/>
      <c r="EF38" s="75"/>
      <c r="EG38" s="75"/>
      <c r="EH38" s="75"/>
      <c r="EI38" s="75"/>
      <c r="EJ38" s="75"/>
      <c r="EK38" s="75"/>
      <c r="EL38" s="75"/>
      <c r="EM38" s="75"/>
      <c r="EN38" s="75"/>
      <c r="EO38" s="75"/>
      <c r="EP38" s="75"/>
      <c r="EQ38" s="75"/>
      <c r="ER38" s="75"/>
      <c r="ES38" s="75"/>
      <c r="ET38" s="75"/>
      <c r="EU38" s="75"/>
      <c r="EV38" s="75"/>
      <c r="EW38" s="75"/>
      <c r="EX38" s="75"/>
      <c r="EY38" s="75"/>
      <c r="EZ38" s="75"/>
      <c r="FA38" s="75"/>
      <c r="FB38" s="75"/>
      <c r="FC38" s="75"/>
      <c r="FD38" s="75"/>
      <c r="FE38" s="75"/>
      <c r="FF38" s="75"/>
      <c r="FG38" s="75"/>
      <c r="FH38" s="75"/>
      <c r="FI38" s="75"/>
      <c r="FJ38" s="75"/>
      <c r="FK38" s="75"/>
      <c r="FL38" s="75"/>
      <c r="FM38" s="75"/>
      <c r="FN38" s="75"/>
      <c r="FO38" s="75"/>
      <c r="FP38" s="75"/>
      <c r="FQ38" s="75"/>
      <c r="FR38" s="75"/>
      <c r="FS38" s="75"/>
      <c r="FT38" s="75"/>
      <c r="FU38" s="75"/>
      <c r="FV38" s="75"/>
      <c r="FW38" s="75"/>
      <c r="FX38" s="75"/>
      <c r="FY38" s="75"/>
      <c r="FZ38" s="75"/>
      <c r="GA38" s="75"/>
      <c r="GB38" s="75"/>
      <c r="GC38" s="75"/>
      <c r="GD38" s="75"/>
      <c r="GE38" s="75"/>
      <c r="GF38" s="75"/>
      <c r="GG38" s="75"/>
      <c r="GH38" s="75"/>
      <c r="GI38" s="75"/>
      <c r="GJ38" s="75"/>
      <c r="GK38" s="75"/>
      <c r="GL38" s="75"/>
      <c r="GM38" s="75"/>
      <c r="GN38" s="75"/>
      <c r="GO38" s="75"/>
      <c r="GP38" s="75"/>
      <c r="GQ38" s="75"/>
      <c r="GR38" s="75"/>
      <c r="GS38" s="75"/>
      <c r="GT38" s="75"/>
      <c r="GU38" s="75"/>
      <c r="GV38" s="75"/>
      <c r="GW38" s="75"/>
      <c r="GX38" s="75"/>
      <c r="GY38" s="75"/>
      <c r="GZ38" s="75"/>
      <c r="HA38" s="75"/>
      <c r="HB38" s="75"/>
      <c r="HC38" s="75"/>
      <c r="HD38" s="75"/>
      <c r="HE38" s="75"/>
      <c r="HF38" s="75"/>
      <c r="HG38" s="75"/>
      <c r="HH38" s="75"/>
      <c r="HI38" s="75"/>
      <c r="HJ38" s="75"/>
      <c r="HK38" s="75"/>
      <c r="HL38" s="75"/>
      <c r="HM38" s="75"/>
      <c r="HN38" s="75"/>
      <c r="HO38" s="75"/>
      <c r="HP38" s="75"/>
      <c r="HQ38" s="75"/>
      <c r="HR38" s="75"/>
      <c r="HS38" s="75"/>
      <c r="HT38" s="75"/>
      <c r="HU38" s="75"/>
      <c r="HV38" s="75"/>
      <c r="HW38" s="75"/>
      <c r="HX38" s="75"/>
      <c r="HY38" s="75"/>
      <c r="HZ38" s="75"/>
      <c r="IA38" s="75"/>
      <c r="IB38" s="75"/>
      <c r="IC38" s="75"/>
      <c r="ID38" s="75"/>
      <c r="IE38" s="75"/>
      <c r="IF38" s="75"/>
      <c r="IG38" s="75"/>
      <c r="IH38" s="75"/>
      <c r="II38" s="75"/>
      <c r="IJ38" s="75"/>
      <c r="IK38" s="75"/>
      <c r="IL38" s="75"/>
      <c r="IM38" s="75"/>
      <c r="IN38" s="75"/>
      <c r="IO38" s="75"/>
      <c r="IP38" s="75"/>
      <c r="IQ38" s="75"/>
      <c r="IR38" s="75"/>
      <c r="IS38" s="75"/>
      <c r="IT38" s="75"/>
      <c r="IU38" s="75"/>
      <c r="IV38" s="75"/>
      <c r="IW38" s="75"/>
      <c r="IX38" s="75"/>
      <c r="IY38" s="75"/>
      <c r="IZ38" s="75"/>
      <c r="JA38" s="75"/>
      <c r="JB38" s="75"/>
      <c r="JC38" s="75"/>
      <c r="JD38" s="75"/>
      <c r="JE38" s="75"/>
      <c r="JF38" s="75"/>
      <c r="JG38" s="75"/>
      <c r="JH38" s="75"/>
      <c r="JI38" s="75"/>
      <c r="JJ38" s="75"/>
      <c r="JK38" s="75"/>
      <c r="JL38" s="75"/>
      <c r="JM38" s="75"/>
      <c r="JN38" s="75"/>
      <c r="JO38" s="75"/>
      <c r="JP38" s="75"/>
      <c r="JQ38" s="75"/>
      <c r="JR38" s="75"/>
      <c r="JS38" s="75"/>
      <c r="JT38" s="75"/>
      <c r="JU38" s="75"/>
      <c r="JV38" s="75"/>
      <c r="JW38" s="75"/>
      <c r="JX38" s="75"/>
      <c r="JY38" s="75"/>
      <c r="JZ38" s="75"/>
      <c r="KA38" s="75"/>
      <c r="KB38" s="75"/>
      <c r="KC38" s="75"/>
      <c r="KD38" s="75"/>
      <c r="KE38" s="75"/>
      <c r="KF38" s="75"/>
      <c r="KG38" s="75"/>
      <c r="KH38" s="75"/>
      <c r="KI38" s="75"/>
      <c r="KJ38" s="75"/>
      <c r="KK38" s="75"/>
    </row>
    <row r="39" spans="1:297" ht="30" customHeight="1" x14ac:dyDescent="0.25">
      <c r="A39" s="33" t="s">
        <v>122</v>
      </c>
      <c r="B39" s="17" t="s">
        <v>123</v>
      </c>
      <c r="C39" s="4">
        <f>_xlfn.XLOOKUP(B39,Lookups!G:G,Lookups!H:H,"",0,1)</f>
        <v>5</v>
      </c>
      <c r="D39" s="4" t="str">
        <f>_xlfn.XLOOKUP(C39,[1]Sheet2!$A$2:$A$11,[1]Sheet2!$B$2:$B$11,"Not found")</f>
        <v>within 90 days</v>
      </c>
      <c r="E39" s="4"/>
      <c r="F39" s="13" t="str">
        <f>_xlfn.XLOOKUP(B39,'Holiday Inn Express'!B:B,'Holiday Inn Express'!F:F,"",0,1)</f>
        <v/>
      </c>
      <c r="G39" s="13" t="s">
        <v>169</v>
      </c>
      <c r="H39" s="13" t="s">
        <v>169</v>
      </c>
      <c r="I39" s="13" t="s">
        <v>170</v>
      </c>
      <c r="J39" s="13" t="s">
        <v>169</v>
      </c>
      <c r="K39" s="13" t="s">
        <v>169</v>
      </c>
      <c r="L39" s="13" t="s">
        <v>169</v>
      </c>
      <c r="M39" s="13" t="s">
        <v>169</v>
      </c>
      <c r="N39" s="13" t="s">
        <v>169</v>
      </c>
      <c r="O39" s="13" t="s">
        <v>169</v>
      </c>
      <c r="P39" s="13" t="s">
        <v>169</v>
      </c>
      <c r="Q39" s="13" t="s">
        <v>169</v>
      </c>
      <c r="R39" s="13" t="s">
        <v>169</v>
      </c>
      <c r="S39" s="13" t="s">
        <v>169</v>
      </c>
      <c r="T39" s="79"/>
      <c r="U39" s="79"/>
      <c r="V39" s="79"/>
      <c r="W39" s="79"/>
      <c r="X39" s="79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75"/>
      <c r="BR39" s="75"/>
      <c r="BS39" s="75"/>
      <c r="BT39" s="75"/>
      <c r="BU39" s="75"/>
      <c r="BV39" s="75"/>
      <c r="BW39" s="75"/>
      <c r="BX39" s="75"/>
      <c r="BY39" s="75"/>
      <c r="BZ39" s="75"/>
      <c r="CA39" s="75"/>
      <c r="CB39" s="75"/>
      <c r="CC39" s="75"/>
      <c r="CD39" s="75"/>
      <c r="CE39" s="75"/>
      <c r="CF39" s="75"/>
      <c r="CG39" s="75"/>
      <c r="CH39" s="75"/>
      <c r="CI39" s="75"/>
      <c r="CJ39" s="75"/>
      <c r="CK39" s="75"/>
      <c r="CL39" s="75"/>
      <c r="CM39" s="75"/>
      <c r="CN39" s="75"/>
      <c r="CO39" s="75"/>
      <c r="CP39" s="75"/>
      <c r="CQ39" s="75"/>
      <c r="CR39" s="75"/>
      <c r="CS39" s="75"/>
      <c r="CT39" s="75"/>
      <c r="CU39" s="75"/>
      <c r="CV39" s="75"/>
      <c r="CW39" s="75"/>
      <c r="CX39" s="75"/>
      <c r="CY39" s="75"/>
      <c r="CZ39" s="75"/>
      <c r="DA39" s="75"/>
      <c r="DB39" s="75"/>
      <c r="DC39" s="75"/>
      <c r="DD39" s="75"/>
      <c r="DE39" s="75"/>
      <c r="DF39" s="75"/>
      <c r="DG39" s="75"/>
      <c r="DH39" s="75"/>
      <c r="DI39" s="75"/>
      <c r="DJ39" s="75"/>
      <c r="DK39" s="75"/>
      <c r="DL39" s="75"/>
      <c r="DM39" s="75"/>
      <c r="DN39" s="75"/>
      <c r="DO39" s="75"/>
      <c r="DP39" s="75"/>
      <c r="DQ39" s="75"/>
      <c r="DR39" s="75"/>
      <c r="DS39" s="75"/>
      <c r="DT39" s="75"/>
      <c r="DU39" s="75"/>
      <c r="DV39" s="75"/>
      <c r="DW39" s="75"/>
      <c r="DX39" s="75"/>
      <c r="DY39" s="75"/>
      <c r="DZ39" s="75"/>
      <c r="EA39" s="75"/>
      <c r="EB39" s="75"/>
      <c r="EC39" s="75"/>
      <c r="ED39" s="75"/>
      <c r="EE39" s="75"/>
      <c r="EF39" s="75"/>
      <c r="EG39" s="75"/>
      <c r="EH39" s="75"/>
      <c r="EI39" s="75"/>
      <c r="EJ39" s="75"/>
      <c r="EK39" s="75"/>
      <c r="EL39" s="75"/>
      <c r="EM39" s="75"/>
      <c r="EN39" s="75"/>
      <c r="EO39" s="75"/>
      <c r="EP39" s="75"/>
      <c r="EQ39" s="75"/>
      <c r="ER39" s="75"/>
      <c r="ES39" s="75"/>
      <c r="ET39" s="75"/>
      <c r="EU39" s="75"/>
      <c r="EV39" s="75"/>
      <c r="EW39" s="75"/>
      <c r="EX39" s="75"/>
      <c r="EY39" s="75"/>
      <c r="EZ39" s="75"/>
      <c r="FA39" s="75"/>
      <c r="FB39" s="75"/>
      <c r="FC39" s="75"/>
      <c r="FD39" s="75"/>
      <c r="FE39" s="75"/>
      <c r="FF39" s="75"/>
      <c r="FG39" s="75"/>
      <c r="FH39" s="75"/>
      <c r="FI39" s="75"/>
      <c r="FJ39" s="75"/>
      <c r="FK39" s="75"/>
      <c r="FL39" s="75"/>
      <c r="FM39" s="75"/>
      <c r="FN39" s="75"/>
      <c r="FO39" s="75"/>
      <c r="FP39" s="75"/>
      <c r="FQ39" s="75"/>
      <c r="FR39" s="75"/>
      <c r="FS39" s="75"/>
      <c r="FT39" s="75"/>
      <c r="FU39" s="75"/>
      <c r="FV39" s="75"/>
      <c r="FW39" s="75"/>
      <c r="FX39" s="75"/>
      <c r="FY39" s="75"/>
      <c r="FZ39" s="75"/>
      <c r="GA39" s="75"/>
      <c r="GB39" s="75"/>
      <c r="GC39" s="75"/>
      <c r="GD39" s="75"/>
      <c r="GE39" s="75"/>
      <c r="GF39" s="75"/>
      <c r="GG39" s="75"/>
      <c r="GH39" s="75"/>
      <c r="GI39" s="75"/>
      <c r="GJ39" s="75"/>
      <c r="GK39" s="75"/>
      <c r="GL39" s="75"/>
      <c r="GM39" s="75"/>
      <c r="GN39" s="75"/>
      <c r="GO39" s="75"/>
      <c r="GP39" s="75"/>
      <c r="GQ39" s="75"/>
      <c r="GR39" s="75"/>
      <c r="GS39" s="75"/>
      <c r="GT39" s="75"/>
      <c r="GU39" s="75"/>
      <c r="GV39" s="75"/>
      <c r="GW39" s="75"/>
      <c r="GX39" s="75"/>
      <c r="GY39" s="75"/>
      <c r="GZ39" s="75"/>
      <c r="HA39" s="75"/>
      <c r="HB39" s="75"/>
      <c r="HC39" s="75"/>
      <c r="HD39" s="75"/>
      <c r="HE39" s="75"/>
      <c r="HF39" s="75"/>
      <c r="HG39" s="75"/>
      <c r="HH39" s="75"/>
      <c r="HI39" s="75"/>
      <c r="HJ39" s="75"/>
      <c r="HK39" s="75"/>
      <c r="HL39" s="75"/>
      <c r="HM39" s="75"/>
      <c r="HN39" s="75"/>
      <c r="HO39" s="75"/>
      <c r="HP39" s="75"/>
      <c r="HQ39" s="75"/>
      <c r="HR39" s="75"/>
      <c r="HS39" s="75"/>
      <c r="HT39" s="75"/>
      <c r="HU39" s="75"/>
      <c r="HV39" s="75"/>
      <c r="HW39" s="75"/>
      <c r="HX39" s="75"/>
      <c r="HY39" s="75"/>
      <c r="HZ39" s="75"/>
      <c r="IA39" s="75"/>
      <c r="IB39" s="75"/>
      <c r="IC39" s="75"/>
      <c r="ID39" s="75"/>
      <c r="IE39" s="75"/>
      <c r="IF39" s="75"/>
      <c r="IG39" s="75"/>
      <c r="IH39" s="75"/>
      <c r="II39" s="75"/>
      <c r="IJ39" s="75"/>
      <c r="IK39" s="75"/>
      <c r="IL39" s="75"/>
      <c r="IM39" s="75"/>
      <c r="IN39" s="75"/>
      <c r="IO39" s="75"/>
      <c r="IP39" s="75"/>
      <c r="IQ39" s="75"/>
      <c r="IR39" s="75"/>
      <c r="IS39" s="75"/>
      <c r="IT39" s="75"/>
      <c r="IU39" s="75"/>
      <c r="IV39" s="75"/>
      <c r="IW39" s="75"/>
      <c r="IX39" s="75"/>
      <c r="IY39" s="75"/>
      <c r="IZ39" s="75"/>
      <c r="JA39" s="75"/>
      <c r="JB39" s="75"/>
      <c r="JC39" s="75"/>
      <c r="JD39" s="75"/>
      <c r="JE39" s="75"/>
      <c r="JF39" s="75"/>
      <c r="JG39" s="75"/>
      <c r="JH39" s="75"/>
      <c r="JI39" s="75"/>
      <c r="JJ39" s="75"/>
      <c r="JK39" s="75"/>
      <c r="JL39" s="75"/>
      <c r="JM39" s="75"/>
      <c r="JN39" s="75"/>
      <c r="JO39" s="75"/>
      <c r="JP39" s="75"/>
      <c r="JQ39" s="75"/>
      <c r="JR39" s="75"/>
      <c r="JS39" s="75"/>
      <c r="JT39" s="75"/>
      <c r="JU39" s="75"/>
      <c r="JV39" s="75"/>
      <c r="JW39" s="75"/>
      <c r="JX39" s="75"/>
      <c r="JY39" s="75"/>
      <c r="JZ39" s="75"/>
      <c r="KA39" s="75"/>
      <c r="KB39" s="75"/>
      <c r="KC39" s="75"/>
      <c r="KD39" s="75"/>
      <c r="KE39" s="75"/>
      <c r="KF39" s="75"/>
      <c r="KG39" s="75"/>
      <c r="KH39" s="75"/>
      <c r="KI39" s="75"/>
      <c r="KJ39" s="75"/>
      <c r="KK39" s="75"/>
    </row>
    <row r="40" spans="1:297" ht="30" customHeight="1" x14ac:dyDescent="0.25">
      <c r="A40" s="30" t="s">
        <v>124</v>
      </c>
      <c r="B40" s="8" t="s">
        <v>238</v>
      </c>
      <c r="C40" s="4">
        <v>7</v>
      </c>
      <c r="D40" s="4" t="s">
        <v>178</v>
      </c>
      <c r="E40" s="4"/>
      <c r="F40" s="13" t="str">
        <f>_xlfn.XLOOKUP(B40,'Holiday Inn Express'!B:B,'Holiday Inn Express'!F:F,"",0,1)</f>
        <v>Access to the system will automatically be given. For New Hotels - only to be completed after official hotel opening.</v>
      </c>
      <c r="G40" s="13" t="s">
        <v>170</v>
      </c>
      <c r="H40" s="13" t="s">
        <v>169</v>
      </c>
      <c r="I40" s="13" t="s">
        <v>169</v>
      </c>
      <c r="J40" s="13" t="s">
        <v>169</v>
      </c>
      <c r="K40" s="13" t="s">
        <v>169</v>
      </c>
      <c r="L40" s="13" t="s">
        <v>169</v>
      </c>
      <c r="M40" s="13" t="s">
        <v>169</v>
      </c>
      <c r="N40" s="13" t="s">
        <v>169</v>
      </c>
      <c r="O40" s="13" t="s">
        <v>169</v>
      </c>
      <c r="P40" s="13" t="s">
        <v>169</v>
      </c>
      <c r="Q40" s="13" t="s">
        <v>169</v>
      </c>
      <c r="R40" s="13" t="s">
        <v>169</v>
      </c>
      <c r="S40" s="13" t="s">
        <v>169</v>
      </c>
      <c r="T40" s="79"/>
      <c r="U40" s="79"/>
      <c r="V40" s="79"/>
      <c r="W40" s="79"/>
      <c r="X40" s="79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75"/>
      <c r="BQ40" s="75"/>
      <c r="BR40" s="75"/>
      <c r="BS40" s="75"/>
      <c r="BT40" s="75"/>
      <c r="BU40" s="75"/>
      <c r="BV40" s="75"/>
      <c r="BW40" s="75"/>
      <c r="BX40" s="75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75"/>
      <c r="CJ40" s="75"/>
      <c r="CK40" s="75"/>
      <c r="CL40" s="75"/>
      <c r="CM40" s="75"/>
      <c r="CN40" s="75"/>
      <c r="CO40" s="75"/>
      <c r="CP40" s="75"/>
      <c r="CQ40" s="75"/>
      <c r="CR40" s="75"/>
      <c r="CS40" s="75"/>
      <c r="CT40" s="75"/>
      <c r="CU40" s="75"/>
      <c r="CV40" s="75"/>
      <c r="CW40" s="75"/>
      <c r="CX40" s="75"/>
      <c r="CY40" s="75"/>
      <c r="CZ40" s="75"/>
      <c r="DA40" s="75"/>
      <c r="DB40" s="75"/>
      <c r="DC40" s="75"/>
      <c r="DD40" s="75"/>
      <c r="DE40" s="75"/>
      <c r="DF40" s="75"/>
      <c r="DG40" s="75"/>
      <c r="DH40" s="75"/>
      <c r="DI40" s="75"/>
      <c r="DJ40" s="75"/>
      <c r="DK40" s="75"/>
      <c r="DL40" s="75"/>
      <c r="DM40" s="75"/>
      <c r="DN40" s="75"/>
      <c r="DO40" s="75"/>
      <c r="DP40" s="75"/>
      <c r="DQ40" s="75"/>
      <c r="DR40" s="75"/>
      <c r="DS40" s="75"/>
      <c r="DT40" s="75"/>
      <c r="DU40" s="75"/>
      <c r="DV40" s="75"/>
      <c r="DW40" s="75"/>
      <c r="DX40" s="75"/>
      <c r="DY40" s="75"/>
      <c r="DZ40" s="75"/>
      <c r="EA40" s="75"/>
      <c r="EB40" s="75"/>
      <c r="EC40" s="75"/>
      <c r="ED40" s="75"/>
      <c r="EE40" s="75"/>
      <c r="EF40" s="75"/>
      <c r="EG40" s="75"/>
      <c r="EH40" s="75"/>
      <c r="EI40" s="75"/>
      <c r="EJ40" s="75"/>
      <c r="EK40" s="75"/>
      <c r="EL40" s="75"/>
      <c r="EM40" s="75"/>
      <c r="EN40" s="75"/>
      <c r="EO40" s="75"/>
      <c r="EP40" s="75"/>
      <c r="EQ40" s="75"/>
      <c r="ER40" s="75"/>
      <c r="ES40" s="75"/>
      <c r="ET40" s="75"/>
      <c r="EU40" s="75"/>
      <c r="EV40" s="75"/>
      <c r="EW40" s="75"/>
      <c r="EX40" s="75"/>
      <c r="EY40" s="75"/>
      <c r="EZ40" s="75"/>
      <c r="FA40" s="75"/>
      <c r="FB40" s="75"/>
      <c r="FC40" s="75"/>
      <c r="FD40" s="75"/>
      <c r="FE40" s="75"/>
      <c r="FF40" s="75"/>
      <c r="FG40" s="75"/>
      <c r="FH40" s="75"/>
      <c r="FI40" s="75"/>
      <c r="FJ40" s="75"/>
      <c r="FK40" s="75"/>
      <c r="FL40" s="75"/>
      <c r="FM40" s="75"/>
      <c r="FN40" s="75"/>
      <c r="FO40" s="75"/>
      <c r="FP40" s="75"/>
      <c r="FQ40" s="75"/>
      <c r="FR40" s="75"/>
      <c r="FS40" s="75"/>
      <c r="FT40" s="75"/>
      <c r="FU40" s="75"/>
      <c r="FV40" s="75"/>
      <c r="FW40" s="75"/>
      <c r="FX40" s="75"/>
      <c r="FY40" s="75"/>
      <c r="FZ40" s="75"/>
      <c r="GA40" s="75"/>
      <c r="GB40" s="75"/>
      <c r="GC40" s="75"/>
      <c r="GD40" s="75"/>
      <c r="GE40" s="75"/>
      <c r="GF40" s="75"/>
      <c r="GG40" s="75"/>
      <c r="GH40" s="75"/>
      <c r="GI40" s="75"/>
      <c r="GJ40" s="75"/>
      <c r="GK40" s="75"/>
      <c r="GL40" s="75"/>
      <c r="GM40" s="75"/>
      <c r="GN40" s="75"/>
      <c r="GO40" s="75"/>
      <c r="GP40" s="75"/>
      <c r="GQ40" s="75"/>
      <c r="GR40" s="75"/>
      <c r="GS40" s="75"/>
      <c r="GT40" s="75"/>
      <c r="GU40" s="75"/>
      <c r="GV40" s="75"/>
      <c r="GW40" s="75"/>
      <c r="GX40" s="75"/>
      <c r="GY40" s="75"/>
      <c r="GZ40" s="75"/>
      <c r="HA40" s="75"/>
      <c r="HB40" s="75"/>
      <c r="HC40" s="75"/>
      <c r="HD40" s="75"/>
      <c r="HE40" s="75"/>
      <c r="HF40" s="75"/>
      <c r="HG40" s="75"/>
      <c r="HH40" s="75"/>
      <c r="HI40" s="75"/>
      <c r="HJ40" s="75"/>
      <c r="HK40" s="75"/>
      <c r="HL40" s="75"/>
      <c r="HM40" s="75"/>
      <c r="HN40" s="75"/>
      <c r="HO40" s="75"/>
      <c r="HP40" s="75"/>
      <c r="HQ40" s="75"/>
      <c r="HR40" s="75"/>
      <c r="HS40" s="75"/>
      <c r="HT40" s="75"/>
      <c r="HU40" s="75"/>
      <c r="HV40" s="75"/>
      <c r="HW40" s="75"/>
      <c r="HX40" s="75"/>
      <c r="HY40" s="75"/>
      <c r="HZ40" s="75"/>
      <c r="IA40" s="75"/>
      <c r="IB40" s="75"/>
      <c r="IC40" s="75"/>
      <c r="ID40" s="75"/>
      <c r="IE40" s="75"/>
      <c r="IF40" s="75"/>
      <c r="IG40" s="75"/>
      <c r="IH40" s="75"/>
      <c r="II40" s="75"/>
      <c r="IJ40" s="75"/>
      <c r="IK40" s="75"/>
      <c r="IL40" s="75"/>
      <c r="IM40" s="75"/>
      <c r="IN40" s="75"/>
      <c r="IO40" s="75"/>
      <c r="IP40" s="75"/>
      <c r="IQ40" s="75"/>
      <c r="IR40" s="75"/>
      <c r="IS40" s="75"/>
      <c r="IT40" s="75"/>
      <c r="IU40" s="75"/>
      <c r="IV40" s="75"/>
      <c r="IW40" s="75"/>
      <c r="IX40" s="75"/>
      <c r="IY40" s="75"/>
      <c r="IZ40" s="75"/>
      <c r="JA40" s="75"/>
      <c r="JB40" s="75"/>
      <c r="JC40" s="75"/>
      <c r="JD40" s="75"/>
      <c r="JE40" s="75"/>
      <c r="JF40" s="75"/>
      <c r="JG40" s="75"/>
      <c r="JH40" s="75"/>
      <c r="JI40" s="75"/>
      <c r="JJ40" s="75"/>
      <c r="JK40" s="75"/>
      <c r="JL40" s="75"/>
      <c r="JM40" s="75"/>
      <c r="JN40" s="75"/>
      <c r="JO40" s="75"/>
      <c r="JP40" s="75"/>
      <c r="JQ40" s="75"/>
      <c r="JR40" s="75"/>
      <c r="JS40" s="75"/>
      <c r="JT40" s="75"/>
      <c r="JU40" s="75"/>
      <c r="JV40" s="75"/>
      <c r="JW40" s="75"/>
      <c r="JX40" s="75"/>
      <c r="JY40" s="75"/>
      <c r="JZ40" s="75"/>
      <c r="KA40" s="75"/>
      <c r="KB40" s="75"/>
      <c r="KC40" s="75"/>
      <c r="KD40" s="75"/>
      <c r="KE40" s="75"/>
      <c r="KF40" s="75"/>
      <c r="KG40" s="75"/>
      <c r="KH40" s="75"/>
      <c r="KI40" s="75"/>
      <c r="KJ40" s="75"/>
      <c r="KK40" s="75"/>
    </row>
    <row r="41" spans="1:297" ht="30" customHeight="1" x14ac:dyDescent="0.25">
      <c r="A41" s="30" t="s">
        <v>125</v>
      </c>
      <c r="B41" s="8" t="s">
        <v>239</v>
      </c>
      <c r="C41" s="4">
        <v>7</v>
      </c>
      <c r="D41" s="4" t="s">
        <v>178</v>
      </c>
      <c r="E41" s="4"/>
      <c r="F41" s="13" t="str">
        <f>_xlfn.XLOOKUP(B41,'Holiday Inn Express'!B:B,'Holiday Inn Express'!F:F,"",0,1)</f>
        <v>Prerequisite: Must complete Onboarding Learning Plan</v>
      </c>
      <c r="G41" s="13" t="s">
        <v>170</v>
      </c>
      <c r="H41" s="13" t="s">
        <v>169</v>
      </c>
      <c r="I41" s="13" t="s">
        <v>169</v>
      </c>
      <c r="J41" s="13" t="s">
        <v>169</v>
      </c>
      <c r="K41" s="13" t="s">
        <v>169</v>
      </c>
      <c r="L41" s="13" t="s">
        <v>169</v>
      </c>
      <c r="M41" s="13" t="s">
        <v>169</v>
      </c>
      <c r="N41" s="13" t="s">
        <v>169</v>
      </c>
      <c r="O41" s="13" t="s">
        <v>169</v>
      </c>
      <c r="P41" s="13" t="s">
        <v>169</v>
      </c>
      <c r="Q41" s="13" t="s">
        <v>169</v>
      </c>
      <c r="R41" s="13" t="s">
        <v>169</v>
      </c>
      <c r="S41" s="13" t="s">
        <v>169</v>
      </c>
      <c r="T41" s="79"/>
      <c r="U41" s="79"/>
      <c r="V41" s="79"/>
      <c r="W41" s="79"/>
      <c r="X41" s="79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75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75"/>
      <c r="BR41" s="75"/>
      <c r="BS41" s="75"/>
      <c r="BT41" s="75"/>
      <c r="BU41" s="75"/>
      <c r="BV41" s="75"/>
      <c r="BW41" s="75"/>
      <c r="BX41" s="75"/>
      <c r="BY41" s="75"/>
      <c r="BZ41" s="75"/>
      <c r="CA41" s="75"/>
      <c r="CB41" s="75"/>
      <c r="CC41" s="75"/>
      <c r="CD41" s="75"/>
      <c r="CE41" s="75"/>
      <c r="CF41" s="75"/>
      <c r="CG41" s="75"/>
      <c r="CH41" s="75"/>
      <c r="CI41" s="75"/>
      <c r="CJ41" s="75"/>
      <c r="CK41" s="75"/>
      <c r="CL41" s="75"/>
      <c r="CM41" s="75"/>
      <c r="CN41" s="75"/>
      <c r="CO41" s="75"/>
      <c r="CP41" s="75"/>
      <c r="CQ41" s="75"/>
      <c r="CR41" s="75"/>
      <c r="CS41" s="75"/>
      <c r="CT41" s="75"/>
      <c r="CU41" s="75"/>
      <c r="CV41" s="75"/>
      <c r="CW41" s="75"/>
      <c r="CX41" s="75"/>
      <c r="CY41" s="75"/>
      <c r="CZ41" s="75"/>
      <c r="DA41" s="75"/>
      <c r="DB41" s="75"/>
      <c r="DC41" s="75"/>
      <c r="DD41" s="75"/>
      <c r="DE41" s="75"/>
      <c r="DF41" s="75"/>
      <c r="DG41" s="75"/>
      <c r="DH41" s="75"/>
      <c r="DI41" s="75"/>
      <c r="DJ41" s="75"/>
      <c r="DK41" s="75"/>
      <c r="DL41" s="75"/>
      <c r="DM41" s="75"/>
      <c r="DN41" s="75"/>
      <c r="DO41" s="75"/>
      <c r="DP41" s="75"/>
      <c r="DQ41" s="75"/>
      <c r="DR41" s="75"/>
      <c r="DS41" s="75"/>
      <c r="DT41" s="75"/>
      <c r="DU41" s="75"/>
      <c r="DV41" s="75"/>
      <c r="DW41" s="75"/>
      <c r="DX41" s="75"/>
      <c r="DY41" s="75"/>
      <c r="DZ41" s="75"/>
      <c r="EA41" s="75"/>
      <c r="EB41" s="75"/>
      <c r="EC41" s="75"/>
      <c r="ED41" s="75"/>
      <c r="EE41" s="75"/>
      <c r="EF41" s="75"/>
      <c r="EG41" s="75"/>
      <c r="EH41" s="75"/>
      <c r="EI41" s="75"/>
      <c r="EJ41" s="75"/>
      <c r="EK41" s="75"/>
      <c r="EL41" s="75"/>
      <c r="EM41" s="75"/>
      <c r="EN41" s="75"/>
      <c r="EO41" s="75"/>
      <c r="EP41" s="75"/>
      <c r="EQ41" s="75"/>
      <c r="ER41" s="75"/>
      <c r="ES41" s="75"/>
      <c r="ET41" s="75"/>
      <c r="EU41" s="75"/>
      <c r="EV41" s="75"/>
      <c r="EW41" s="75"/>
      <c r="EX41" s="75"/>
      <c r="EY41" s="75"/>
      <c r="EZ41" s="75"/>
      <c r="FA41" s="75"/>
      <c r="FB41" s="75"/>
      <c r="FC41" s="75"/>
      <c r="FD41" s="75"/>
      <c r="FE41" s="75"/>
      <c r="FF41" s="75"/>
      <c r="FG41" s="75"/>
      <c r="FH41" s="75"/>
      <c r="FI41" s="75"/>
      <c r="FJ41" s="75"/>
      <c r="FK41" s="75"/>
      <c r="FL41" s="75"/>
      <c r="FM41" s="75"/>
      <c r="FN41" s="75"/>
      <c r="FO41" s="75"/>
      <c r="FP41" s="75"/>
      <c r="FQ41" s="75"/>
      <c r="FR41" s="75"/>
      <c r="FS41" s="75"/>
      <c r="FT41" s="75"/>
      <c r="FU41" s="75"/>
      <c r="FV41" s="75"/>
      <c r="FW41" s="75"/>
      <c r="FX41" s="75"/>
      <c r="FY41" s="75"/>
      <c r="FZ41" s="75"/>
      <c r="GA41" s="75"/>
      <c r="GB41" s="75"/>
      <c r="GC41" s="75"/>
      <c r="GD41" s="75"/>
      <c r="GE41" s="75"/>
      <c r="GF41" s="75"/>
      <c r="GG41" s="75"/>
      <c r="GH41" s="75"/>
      <c r="GI41" s="75"/>
      <c r="GJ41" s="75"/>
      <c r="GK41" s="75"/>
      <c r="GL41" s="75"/>
      <c r="GM41" s="75"/>
      <c r="GN41" s="75"/>
      <c r="GO41" s="75"/>
      <c r="GP41" s="75"/>
      <c r="GQ41" s="75"/>
      <c r="GR41" s="75"/>
      <c r="GS41" s="75"/>
      <c r="GT41" s="75"/>
      <c r="GU41" s="75"/>
      <c r="GV41" s="75"/>
      <c r="GW41" s="75"/>
      <c r="GX41" s="75"/>
      <c r="GY41" s="75"/>
      <c r="GZ41" s="75"/>
      <c r="HA41" s="75"/>
      <c r="HB41" s="75"/>
      <c r="HC41" s="75"/>
      <c r="HD41" s="75"/>
      <c r="HE41" s="75"/>
      <c r="HF41" s="75"/>
      <c r="HG41" s="75"/>
      <c r="HH41" s="75"/>
      <c r="HI41" s="75"/>
      <c r="HJ41" s="75"/>
      <c r="HK41" s="75"/>
      <c r="HL41" s="75"/>
      <c r="HM41" s="75"/>
      <c r="HN41" s="75"/>
      <c r="HO41" s="75"/>
      <c r="HP41" s="75"/>
      <c r="HQ41" s="75"/>
      <c r="HR41" s="75"/>
      <c r="HS41" s="75"/>
      <c r="HT41" s="75"/>
      <c r="HU41" s="75"/>
      <c r="HV41" s="75"/>
      <c r="HW41" s="75"/>
      <c r="HX41" s="75"/>
      <c r="HY41" s="75"/>
      <c r="HZ41" s="75"/>
      <c r="IA41" s="75"/>
      <c r="IB41" s="75"/>
      <c r="IC41" s="75"/>
      <c r="ID41" s="75"/>
      <c r="IE41" s="75"/>
      <c r="IF41" s="75"/>
      <c r="IG41" s="75"/>
      <c r="IH41" s="75"/>
      <c r="II41" s="75"/>
      <c r="IJ41" s="75"/>
      <c r="IK41" s="75"/>
      <c r="IL41" s="75"/>
      <c r="IM41" s="75"/>
      <c r="IN41" s="75"/>
      <c r="IO41" s="75"/>
      <c r="IP41" s="75"/>
      <c r="IQ41" s="75"/>
      <c r="IR41" s="75"/>
      <c r="IS41" s="75"/>
      <c r="IT41" s="75"/>
      <c r="IU41" s="75"/>
      <c r="IV41" s="75"/>
      <c r="IW41" s="75"/>
      <c r="IX41" s="75"/>
      <c r="IY41" s="75"/>
      <c r="IZ41" s="75"/>
      <c r="JA41" s="75"/>
      <c r="JB41" s="75"/>
      <c r="JC41" s="75"/>
      <c r="JD41" s="75"/>
      <c r="JE41" s="75"/>
      <c r="JF41" s="75"/>
      <c r="JG41" s="75"/>
      <c r="JH41" s="75"/>
      <c r="JI41" s="75"/>
      <c r="JJ41" s="75"/>
      <c r="JK41" s="75"/>
      <c r="JL41" s="75"/>
      <c r="JM41" s="75"/>
      <c r="JN41" s="75"/>
      <c r="JO41" s="75"/>
      <c r="JP41" s="75"/>
      <c r="JQ41" s="75"/>
      <c r="JR41" s="75"/>
      <c r="JS41" s="75"/>
      <c r="JT41" s="75"/>
      <c r="JU41" s="75"/>
      <c r="JV41" s="75"/>
      <c r="JW41" s="75"/>
      <c r="JX41" s="75"/>
      <c r="JY41" s="75"/>
      <c r="JZ41" s="75"/>
      <c r="KA41" s="75"/>
      <c r="KB41" s="75"/>
      <c r="KC41" s="75"/>
      <c r="KD41" s="75"/>
      <c r="KE41" s="75"/>
      <c r="KF41" s="75"/>
      <c r="KG41" s="75"/>
      <c r="KH41" s="75"/>
      <c r="KI41" s="75"/>
      <c r="KJ41" s="75"/>
      <c r="KK41" s="75"/>
    </row>
    <row r="42" spans="1:297" ht="30" customHeight="1" x14ac:dyDescent="0.25">
      <c r="A42" s="33" t="s">
        <v>161</v>
      </c>
      <c r="B42" s="17" t="s">
        <v>162</v>
      </c>
      <c r="C42" s="4">
        <v>3</v>
      </c>
      <c r="D42" s="4" t="s">
        <v>174</v>
      </c>
      <c r="E42" s="4"/>
      <c r="F42" s="13" t="s">
        <v>303</v>
      </c>
      <c r="G42" s="13" t="s">
        <v>170</v>
      </c>
      <c r="H42" s="13" t="s">
        <v>170</v>
      </c>
      <c r="I42" s="13" t="s">
        <v>170</v>
      </c>
      <c r="J42" s="13" t="s">
        <v>170</v>
      </c>
      <c r="K42" s="13" t="s">
        <v>170</v>
      </c>
      <c r="L42" s="13" t="s">
        <v>170</v>
      </c>
      <c r="M42" s="13" t="s">
        <v>170</v>
      </c>
      <c r="N42" s="13" t="s">
        <v>170</v>
      </c>
      <c r="O42" s="13" t="s">
        <v>170</v>
      </c>
      <c r="P42" s="13" t="s">
        <v>170</v>
      </c>
      <c r="Q42" s="13" t="s">
        <v>170</v>
      </c>
      <c r="R42" s="13" t="s">
        <v>170</v>
      </c>
      <c r="S42" s="13" t="s">
        <v>170</v>
      </c>
      <c r="T42" s="79"/>
      <c r="U42" s="79"/>
      <c r="V42" s="79"/>
      <c r="W42" s="79"/>
      <c r="X42" s="79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5"/>
      <c r="BK42" s="75"/>
      <c r="BL42" s="75"/>
      <c r="BM42" s="75"/>
      <c r="BN42" s="75"/>
      <c r="BO42" s="75"/>
      <c r="BP42" s="75"/>
      <c r="BQ42" s="75"/>
      <c r="BR42" s="75"/>
      <c r="BS42" s="75"/>
      <c r="BT42" s="75"/>
      <c r="BU42" s="75"/>
      <c r="BV42" s="75"/>
      <c r="BW42" s="75"/>
      <c r="BX42" s="75"/>
      <c r="BY42" s="75"/>
      <c r="BZ42" s="75"/>
      <c r="CA42" s="75"/>
      <c r="CB42" s="75"/>
      <c r="CC42" s="75"/>
      <c r="CD42" s="75"/>
      <c r="CE42" s="75"/>
      <c r="CF42" s="75"/>
      <c r="CG42" s="75"/>
      <c r="CH42" s="75"/>
      <c r="CI42" s="75"/>
      <c r="CJ42" s="75"/>
      <c r="CK42" s="75"/>
      <c r="CL42" s="75"/>
      <c r="CM42" s="75"/>
      <c r="CN42" s="75"/>
      <c r="CO42" s="75"/>
      <c r="CP42" s="75"/>
      <c r="CQ42" s="75"/>
      <c r="CR42" s="75"/>
      <c r="CS42" s="75"/>
      <c r="CT42" s="75"/>
      <c r="CU42" s="75"/>
      <c r="CV42" s="75"/>
      <c r="CW42" s="75"/>
      <c r="CX42" s="75"/>
      <c r="CY42" s="75"/>
      <c r="CZ42" s="75"/>
      <c r="DA42" s="75"/>
      <c r="DB42" s="75"/>
      <c r="DC42" s="75"/>
      <c r="DD42" s="75"/>
      <c r="DE42" s="75"/>
      <c r="DF42" s="75"/>
      <c r="DG42" s="75"/>
      <c r="DH42" s="75"/>
      <c r="DI42" s="75"/>
      <c r="DJ42" s="75"/>
      <c r="DK42" s="75"/>
      <c r="DL42" s="75"/>
      <c r="DM42" s="75"/>
      <c r="DN42" s="75"/>
      <c r="DO42" s="75"/>
      <c r="DP42" s="75"/>
      <c r="DQ42" s="75"/>
      <c r="DR42" s="75"/>
      <c r="DS42" s="75"/>
      <c r="DT42" s="75"/>
      <c r="DU42" s="75"/>
      <c r="DV42" s="75"/>
      <c r="DW42" s="75"/>
      <c r="DX42" s="75"/>
      <c r="DY42" s="75"/>
      <c r="DZ42" s="75"/>
      <c r="EA42" s="75"/>
      <c r="EB42" s="75"/>
      <c r="EC42" s="75"/>
      <c r="ED42" s="75"/>
      <c r="EE42" s="75"/>
      <c r="EF42" s="75"/>
      <c r="EG42" s="75"/>
      <c r="EH42" s="75"/>
      <c r="EI42" s="75"/>
      <c r="EJ42" s="75"/>
      <c r="EK42" s="75"/>
      <c r="EL42" s="75"/>
      <c r="EM42" s="75"/>
      <c r="EN42" s="75"/>
      <c r="EO42" s="75"/>
      <c r="EP42" s="75"/>
      <c r="EQ42" s="75"/>
      <c r="ER42" s="75"/>
      <c r="ES42" s="75"/>
      <c r="ET42" s="75"/>
      <c r="EU42" s="75"/>
      <c r="EV42" s="75"/>
      <c r="EW42" s="75"/>
      <c r="EX42" s="75"/>
      <c r="EY42" s="75"/>
      <c r="EZ42" s="75"/>
      <c r="FA42" s="75"/>
      <c r="FB42" s="75"/>
      <c r="FC42" s="75"/>
      <c r="FD42" s="75"/>
      <c r="FE42" s="75"/>
      <c r="FF42" s="75"/>
      <c r="FG42" s="75"/>
      <c r="FH42" s="75"/>
      <c r="FI42" s="75"/>
      <c r="FJ42" s="75"/>
      <c r="FK42" s="75"/>
      <c r="FL42" s="75"/>
      <c r="FM42" s="75"/>
      <c r="FN42" s="75"/>
      <c r="FO42" s="75"/>
      <c r="FP42" s="75"/>
      <c r="FQ42" s="75"/>
      <c r="FR42" s="75"/>
      <c r="FS42" s="75"/>
      <c r="FT42" s="75"/>
      <c r="FU42" s="75"/>
      <c r="FV42" s="75"/>
      <c r="FW42" s="75"/>
      <c r="FX42" s="75"/>
      <c r="FY42" s="75"/>
      <c r="FZ42" s="75"/>
      <c r="GA42" s="75"/>
      <c r="GB42" s="75"/>
      <c r="GC42" s="75"/>
      <c r="GD42" s="75"/>
      <c r="GE42" s="75"/>
      <c r="GF42" s="75"/>
      <c r="GG42" s="75"/>
      <c r="GH42" s="75"/>
      <c r="GI42" s="75"/>
      <c r="GJ42" s="75"/>
      <c r="GK42" s="75"/>
      <c r="GL42" s="75"/>
      <c r="GM42" s="75"/>
      <c r="GN42" s="75"/>
      <c r="GO42" s="75"/>
      <c r="GP42" s="75"/>
      <c r="GQ42" s="75"/>
      <c r="GR42" s="75"/>
      <c r="GS42" s="75"/>
      <c r="GT42" s="75"/>
      <c r="GU42" s="75"/>
      <c r="GV42" s="75"/>
      <c r="GW42" s="75"/>
      <c r="GX42" s="75"/>
      <c r="GY42" s="75"/>
      <c r="GZ42" s="75"/>
      <c r="HA42" s="75"/>
      <c r="HB42" s="75"/>
      <c r="HC42" s="75"/>
      <c r="HD42" s="75"/>
      <c r="HE42" s="75"/>
      <c r="HF42" s="75"/>
      <c r="HG42" s="75"/>
      <c r="HH42" s="75"/>
      <c r="HI42" s="75"/>
      <c r="HJ42" s="75"/>
      <c r="HK42" s="75"/>
      <c r="HL42" s="75"/>
      <c r="HM42" s="75"/>
      <c r="HN42" s="75"/>
      <c r="HO42" s="75"/>
      <c r="HP42" s="75"/>
      <c r="HQ42" s="75"/>
      <c r="HR42" s="75"/>
      <c r="HS42" s="75"/>
      <c r="HT42" s="75"/>
      <c r="HU42" s="75"/>
      <c r="HV42" s="75"/>
      <c r="HW42" s="75"/>
      <c r="HX42" s="75"/>
      <c r="HY42" s="75"/>
      <c r="HZ42" s="75"/>
      <c r="IA42" s="75"/>
      <c r="IB42" s="75"/>
      <c r="IC42" s="75"/>
      <c r="ID42" s="75"/>
      <c r="IE42" s="75"/>
      <c r="IF42" s="75"/>
      <c r="IG42" s="75"/>
      <c r="IH42" s="75"/>
      <c r="II42" s="75"/>
      <c r="IJ42" s="75"/>
      <c r="IK42" s="75"/>
      <c r="IL42" s="75"/>
      <c r="IM42" s="75"/>
      <c r="IN42" s="75"/>
      <c r="IO42" s="75"/>
      <c r="IP42" s="75"/>
      <c r="IQ42" s="75"/>
      <c r="IR42" s="75"/>
      <c r="IS42" s="75"/>
      <c r="IT42" s="75"/>
      <c r="IU42" s="75"/>
      <c r="IV42" s="75"/>
      <c r="IW42" s="75"/>
      <c r="IX42" s="75"/>
      <c r="IY42" s="75"/>
      <c r="IZ42" s="75"/>
      <c r="JA42" s="75"/>
      <c r="JB42" s="75"/>
      <c r="JC42" s="75"/>
      <c r="JD42" s="75"/>
      <c r="JE42" s="75"/>
      <c r="JF42" s="75"/>
      <c r="JG42" s="75"/>
      <c r="JH42" s="75"/>
      <c r="JI42" s="75"/>
      <c r="JJ42" s="75"/>
      <c r="JK42" s="75"/>
      <c r="JL42" s="75"/>
      <c r="JM42" s="75"/>
      <c r="JN42" s="75"/>
      <c r="JO42" s="75"/>
      <c r="JP42" s="75"/>
      <c r="JQ42" s="75"/>
      <c r="JR42" s="75"/>
      <c r="JS42" s="75"/>
      <c r="JT42" s="75"/>
      <c r="JU42" s="75"/>
      <c r="JV42" s="75"/>
      <c r="JW42" s="75"/>
      <c r="JX42" s="75"/>
      <c r="JY42" s="75"/>
      <c r="JZ42" s="75"/>
      <c r="KA42" s="75"/>
      <c r="KB42" s="75"/>
      <c r="KC42" s="75"/>
      <c r="KD42" s="75"/>
      <c r="KE42" s="75"/>
      <c r="KF42" s="75"/>
      <c r="KG42" s="75"/>
      <c r="KH42" s="75"/>
      <c r="KI42" s="75"/>
      <c r="KJ42" s="75"/>
      <c r="KK42" s="75"/>
    </row>
    <row r="43" spans="1:297" ht="30" customHeight="1" x14ac:dyDescent="0.25">
      <c r="A43" s="33" t="s">
        <v>127</v>
      </c>
      <c r="B43" s="13" t="s">
        <v>128</v>
      </c>
      <c r="C43" s="4">
        <f>_xlfn.XLOOKUP(B43,Lookups!G:G,Lookups!H:H,"",0,1)</f>
        <v>10</v>
      </c>
      <c r="D43" s="4" t="str">
        <f>_xlfn.XLOOKUP(C43,[1]Sheet2!$A$2:$A$11,[1]Sheet2!$B$2:$B$11,"Not found")</f>
        <v>Suggested Learning</v>
      </c>
      <c r="E43" s="4"/>
      <c r="F43" s="13" t="str">
        <f>_xlfn.XLOOKUP(B43,'Holiday Inn Express'!B:B,'Holiday Inn Express'!F:F,"",0,1)</f>
        <v>Self-paced Online Learning (25 Minutes).</v>
      </c>
      <c r="G43" s="13" t="s">
        <v>170</v>
      </c>
      <c r="H43" s="13" t="s">
        <v>169</v>
      </c>
      <c r="I43" s="13" t="s">
        <v>169</v>
      </c>
      <c r="J43" s="13" t="s">
        <v>169</v>
      </c>
      <c r="K43" s="13" t="s">
        <v>169</v>
      </c>
      <c r="L43" s="13" t="s">
        <v>170</v>
      </c>
      <c r="M43" s="18" t="s">
        <v>169</v>
      </c>
      <c r="N43" s="18" t="s">
        <v>169</v>
      </c>
      <c r="O43" s="18" t="s">
        <v>169</v>
      </c>
      <c r="P43" s="18" t="s">
        <v>169</v>
      </c>
      <c r="Q43" s="18" t="s">
        <v>169</v>
      </c>
      <c r="R43" s="18" t="s">
        <v>169</v>
      </c>
      <c r="S43" s="18" t="s">
        <v>169</v>
      </c>
      <c r="T43" s="79"/>
      <c r="U43" s="79"/>
      <c r="V43" s="79"/>
      <c r="W43" s="79"/>
      <c r="X43" s="79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5"/>
      <c r="BK43" s="75"/>
      <c r="BL43" s="75"/>
      <c r="BM43" s="75"/>
      <c r="BN43" s="75"/>
      <c r="BO43" s="75"/>
      <c r="BP43" s="75"/>
      <c r="BQ43" s="75"/>
      <c r="BR43" s="75"/>
      <c r="BS43" s="75"/>
      <c r="BT43" s="75"/>
      <c r="BU43" s="75"/>
      <c r="BV43" s="75"/>
      <c r="BW43" s="75"/>
      <c r="BX43" s="75"/>
      <c r="BY43" s="75"/>
      <c r="BZ43" s="75"/>
      <c r="CA43" s="75"/>
      <c r="CB43" s="75"/>
      <c r="CC43" s="75"/>
      <c r="CD43" s="75"/>
      <c r="CE43" s="75"/>
      <c r="CF43" s="75"/>
      <c r="CG43" s="75"/>
      <c r="CH43" s="75"/>
      <c r="CI43" s="75"/>
      <c r="CJ43" s="75"/>
      <c r="CK43" s="75"/>
      <c r="CL43" s="75"/>
      <c r="CM43" s="75"/>
      <c r="CN43" s="75"/>
      <c r="CO43" s="75"/>
      <c r="CP43" s="75"/>
      <c r="CQ43" s="75"/>
      <c r="CR43" s="75"/>
      <c r="CS43" s="75"/>
      <c r="CT43" s="75"/>
      <c r="CU43" s="75"/>
      <c r="CV43" s="75"/>
      <c r="CW43" s="75"/>
      <c r="CX43" s="75"/>
      <c r="CY43" s="75"/>
      <c r="CZ43" s="75"/>
      <c r="DA43" s="75"/>
      <c r="DB43" s="75"/>
      <c r="DC43" s="75"/>
      <c r="DD43" s="75"/>
      <c r="DE43" s="75"/>
      <c r="DF43" s="75"/>
      <c r="DG43" s="75"/>
      <c r="DH43" s="75"/>
      <c r="DI43" s="75"/>
      <c r="DJ43" s="75"/>
      <c r="DK43" s="75"/>
      <c r="DL43" s="75"/>
      <c r="DM43" s="75"/>
      <c r="DN43" s="75"/>
      <c r="DO43" s="75"/>
      <c r="DP43" s="75"/>
      <c r="DQ43" s="75"/>
      <c r="DR43" s="75"/>
      <c r="DS43" s="75"/>
      <c r="DT43" s="75"/>
      <c r="DU43" s="75"/>
      <c r="DV43" s="75"/>
      <c r="DW43" s="75"/>
      <c r="DX43" s="75"/>
      <c r="DY43" s="75"/>
      <c r="DZ43" s="75"/>
      <c r="EA43" s="75"/>
      <c r="EB43" s="75"/>
      <c r="EC43" s="75"/>
      <c r="ED43" s="75"/>
      <c r="EE43" s="75"/>
      <c r="EF43" s="75"/>
      <c r="EG43" s="75"/>
      <c r="EH43" s="75"/>
      <c r="EI43" s="75"/>
      <c r="EJ43" s="75"/>
      <c r="EK43" s="75"/>
      <c r="EL43" s="75"/>
      <c r="EM43" s="75"/>
      <c r="EN43" s="75"/>
      <c r="EO43" s="75"/>
      <c r="EP43" s="75"/>
      <c r="EQ43" s="75"/>
      <c r="ER43" s="75"/>
      <c r="ES43" s="75"/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5"/>
      <c r="FE43" s="75"/>
      <c r="FF43" s="75"/>
      <c r="FG43" s="75"/>
      <c r="FH43" s="75"/>
      <c r="FI43" s="75"/>
      <c r="FJ43" s="75"/>
      <c r="FK43" s="75"/>
      <c r="FL43" s="75"/>
      <c r="FM43" s="75"/>
      <c r="FN43" s="75"/>
      <c r="FO43" s="75"/>
      <c r="FP43" s="75"/>
      <c r="FQ43" s="75"/>
      <c r="FR43" s="75"/>
      <c r="FS43" s="75"/>
      <c r="FT43" s="75"/>
      <c r="FU43" s="75"/>
      <c r="FV43" s="75"/>
      <c r="FW43" s="75"/>
      <c r="FX43" s="75"/>
      <c r="FY43" s="75"/>
      <c r="FZ43" s="75"/>
      <c r="GA43" s="75"/>
      <c r="GB43" s="75"/>
      <c r="GC43" s="75"/>
      <c r="GD43" s="75"/>
      <c r="GE43" s="75"/>
      <c r="GF43" s="75"/>
      <c r="GG43" s="75"/>
      <c r="GH43" s="75"/>
      <c r="GI43" s="75"/>
      <c r="GJ43" s="75"/>
      <c r="GK43" s="75"/>
      <c r="GL43" s="75"/>
      <c r="GM43" s="75"/>
      <c r="GN43" s="75"/>
      <c r="GO43" s="75"/>
      <c r="GP43" s="75"/>
      <c r="GQ43" s="75"/>
      <c r="GR43" s="75"/>
      <c r="GS43" s="75"/>
      <c r="GT43" s="75"/>
      <c r="GU43" s="75"/>
      <c r="GV43" s="75"/>
      <c r="GW43" s="75"/>
      <c r="GX43" s="75"/>
      <c r="GY43" s="75"/>
      <c r="GZ43" s="75"/>
      <c r="HA43" s="75"/>
      <c r="HB43" s="75"/>
      <c r="HC43" s="75"/>
      <c r="HD43" s="75"/>
      <c r="HE43" s="75"/>
      <c r="HF43" s="75"/>
      <c r="HG43" s="75"/>
      <c r="HH43" s="75"/>
      <c r="HI43" s="75"/>
      <c r="HJ43" s="75"/>
      <c r="HK43" s="75"/>
      <c r="HL43" s="75"/>
      <c r="HM43" s="75"/>
      <c r="HN43" s="75"/>
      <c r="HO43" s="75"/>
      <c r="HP43" s="75"/>
      <c r="HQ43" s="75"/>
      <c r="HR43" s="75"/>
      <c r="HS43" s="75"/>
      <c r="HT43" s="75"/>
      <c r="HU43" s="75"/>
      <c r="HV43" s="75"/>
      <c r="HW43" s="75"/>
      <c r="HX43" s="75"/>
      <c r="HY43" s="75"/>
      <c r="HZ43" s="75"/>
      <c r="IA43" s="75"/>
      <c r="IB43" s="75"/>
      <c r="IC43" s="75"/>
      <c r="ID43" s="75"/>
      <c r="IE43" s="75"/>
      <c r="IF43" s="75"/>
      <c r="IG43" s="75"/>
      <c r="IH43" s="75"/>
      <c r="II43" s="75"/>
      <c r="IJ43" s="75"/>
      <c r="IK43" s="75"/>
      <c r="IL43" s="75"/>
      <c r="IM43" s="75"/>
      <c r="IN43" s="75"/>
      <c r="IO43" s="75"/>
      <c r="IP43" s="75"/>
      <c r="IQ43" s="75"/>
      <c r="IR43" s="75"/>
      <c r="IS43" s="75"/>
      <c r="IT43" s="75"/>
      <c r="IU43" s="75"/>
      <c r="IV43" s="75"/>
      <c r="IW43" s="75"/>
      <c r="IX43" s="75"/>
      <c r="IY43" s="75"/>
      <c r="IZ43" s="75"/>
      <c r="JA43" s="75"/>
      <c r="JB43" s="75"/>
      <c r="JC43" s="75"/>
      <c r="JD43" s="75"/>
      <c r="JE43" s="75"/>
      <c r="JF43" s="75"/>
      <c r="JG43" s="75"/>
      <c r="JH43" s="75"/>
      <c r="JI43" s="75"/>
      <c r="JJ43" s="75"/>
      <c r="JK43" s="75"/>
      <c r="JL43" s="75"/>
      <c r="JM43" s="75"/>
      <c r="JN43" s="75"/>
      <c r="JO43" s="75"/>
      <c r="JP43" s="75"/>
      <c r="JQ43" s="75"/>
      <c r="JR43" s="75"/>
      <c r="JS43" s="75"/>
      <c r="JT43" s="75"/>
      <c r="JU43" s="75"/>
      <c r="JV43" s="75"/>
      <c r="JW43" s="75"/>
      <c r="JX43" s="75"/>
      <c r="JY43" s="75"/>
      <c r="JZ43" s="75"/>
      <c r="KA43" s="75"/>
      <c r="KB43" s="75"/>
      <c r="KC43" s="75"/>
      <c r="KD43" s="75"/>
      <c r="KE43" s="75"/>
      <c r="KF43" s="75"/>
      <c r="KG43" s="75"/>
      <c r="KH43" s="75"/>
      <c r="KI43" s="75"/>
      <c r="KJ43" s="75"/>
      <c r="KK43" s="75"/>
    </row>
    <row r="44" spans="1:297" ht="30" customHeight="1" x14ac:dyDescent="0.25">
      <c r="A44" s="30" t="s">
        <v>129</v>
      </c>
      <c r="B44" s="17" t="s">
        <v>130</v>
      </c>
      <c r="C44" s="4">
        <f>_xlfn.XLOOKUP(B44,Lookups!G:G,Lookups!H:H,"",0,1)</f>
        <v>10</v>
      </c>
      <c r="D44" s="4" t="str">
        <f>_xlfn.XLOOKUP(C44,[1]Sheet2!$A$2:$A$11,[1]Sheet2!$B$2:$B$11,"Not found")</f>
        <v>Suggested Learning</v>
      </c>
      <c r="E44" s="4"/>
      <c r="F44" s="13" t="str">
        <f>_xlfn.XLOOKUP(B44,'Holiday Inn Express'!B:B,'Holiday Inn Express'!F:F,"",0,1)</f>
        <v>Self-paced Online Learning (25 Minutes).</v>
      </c>
      <c r="G44" s="18" t="s">
        <v>169</v>
      </c>
      <c r="H44" s="18" t="s">
        <v>169</v>
      </c>
      <c r="I44" s="18" t="s">
        <v>169</v>
      </c>
      <c r="J44" s="18" t="s">
        <v>169</v>
      </c>
      <c r="K44" s="18" t="s">
        <v>169</v>
      </c>
      <c r="L44" s="18" t="s">
        <v>169</v>
      </c>
      <c r="M44" s="18" t="s">
        <v>169</v>
      </c>
      <c r="N44" s="18" t="s">
        <v>169</v>
      </c>
      <c r="O44" s="18" t="s">
        <v>169</v>
      </c>
      <c r="P44" s="18" t="s">
        <v>170</v>
      </c>
      <c r="Q44" s="18" t="s">
        <v>169</v>
      </c>
      <c r="R44" s="18" t="s">
        <v>169</v>
      </c>
      <c r="S44" s="18" t="s">
        <v>169</v>
      </c>
      <c r="T44" s="79"/>
      <c r="U44" s="79"/>
      <c r="V44" s="79"/>
      <c r="W44" s="79"/>
      <c r="X44" s="79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5"/>
      <c r="BG44" s="75"/>
      <c r="BH44" s="75"/>
      <c r="BI44" s="75"/>
      <c r="BJ44" s="75"/>
      <c r="BK44" s="75"/>
      <c r="BL44" s="75"/>
      <c r="BM44" s="75"/>
      <c r="BN44" s="75"/>
      <c r="BO44" s="75"/>
      <c r="BP44" s="75"/>
      <c r="BQ44" s="75"/>
      <c r="BR44" s="75"/>
      <c r="BS44" s="75"/>
      <c r="BT44" s="75"/>
      <c r="BU44" s="75"/>
      <c r="BV44" s="75"/>
      <c r="BW44" s="75"/>
      <c r="BX44" s="75"/>
      <c r="BY44" s="75"/>
      <c r="BZ44" s="75"/>
      <c r="CA44" s="75"/>
      <c r="CB44" s="75"/>
      <c r="CC44" s="75"/>
      <c r="CD44" s="75"/>
      <c r="CE44" s="75"/>
      <c r="CF44" s="75"/>
      <c r="CG44" s="75"/>
      <c r="CH44" s="75"/>
      <c r="CI44" s="75"/>
      <c r="CJ44" s="75"/>
      <c r="CK44" s="75"/>
      <c r="CL44" s="75"/>
      <c r="CM44" s="75"/>
      <c r="CN44" s="75"/>
      <c r="CO44" s="75"/>
      <c r="CP44" s="75"/>
      <c r="CQ44" s="75"/>
      <c r="CR44" s="75"/>
      <c r="CS44" s="75"/>
      <c r="CT44" s="75"/>
      <c r="CU44" s="75"/>
      <c r="CV44" s="75"/>
      <c r="CW44" s="75"/>
      <c r="CX44" s="75"/>
      <c r="CY44" s="75"/>
      <c r="CZ44" s="75"/>
      <c r="DA44" s="75"/>
      <c r="DB44" s="75"/>
      <c r="DC44" s="75"/>
      <c r="DD44" s="75"/>
      <c r="DE44" s="75"/>
      <c r="DF44" s="75"/>
      <c r="DG44" s="75"/>
      <c r="DH44" s="75"/>
      <c r="DI44" s="75"/>
      <c r="DJ44" s="75"/>
      <c r="DK44" s="75"/>
      <c r="DL44" s="75"/>
      <c r="DM44" s="75"/>
      <c r="DN44" s="75"/>
      <c r="DO44" s="75"/>
      <c r="DP44" s="75"/>
      <c r="DQ44" s="75"/>
      <c r="DR44" s="75"/>
      <c r="DS44" s="75"/>
      <c r="DT44" s="75"/>
      <c r="DU44" s="75"/>
      <c r="DV44" s="75"/>
      <c r="DW44" s="75"/>
      <c r="DX44" s="75"/>
      <c r="DY44" s="75"/>
      <c r="DZ44" s="75"/>
      <c r="EA44" s="75"/>
      <c r="EB44" s="75"/>
      <c r="EC44" s="75"/>
      <c r="ED44" s="75"/>
      <c r="EE44" s="75"/>
      <c r="EF44" s="75"/>
      <c r="EG44" s="75"/>
      <c r="EH44" s="75"/>
      <c r="EI44" s="75"/>
      <c r="EJ44" s="75"/>
      <c r="EK44" s="75"/>
      <c r="EL44" s="75"/>
      <c r="EM44" s="75"/>
      <c r="EN44" s="75"/>
      <c r="EO44" s="75"/>
      <c r="EP44" s="75"/>
      <c r="EQ44" s="75"/>
      <c r="ER44" s="75"/>
      <c r="ES44" s="75"/>
      <c r="ET44" s="75"/>
      <c r="EU44" s="75"/>
      <c r="EV44" s="75"/>
      <c r="EW44" s="75"/>
      <c r="EX44" s="75"/>
      <c r="EY44" s="75"/>
      <c r="EZ44" s="75"/>
      <c r="FA44" s="75"/>
      <c r="FB44" s="75"/>
      <c r="FC44" s="75"/>
      <c r="FD44" s="75"/>
      <c r="FE44" s="75"/>
      <c r="FF44" s="75"/>
      <c r="FG44" s="75"/>
      <c r="FH44" s="75"/>
      <c r="FI44" s="75"/>
      <c r="FJ44" s="75"/>
      <c r="FK44" s="75"/>
      <c r="FL44" s="75"/>
      <c r="FM44" s="75"/>
      <c r="FN44" s="75"/>
      <c r="FO44" s="75"/>
      <c r="FP44" s="75"/>
      <c r="FQ44" s="75"/>
      <c r="FR44" s="75"/>
      <c r="FS44" s="75"/>
      <c r="FT44" s="75"/>
      <c r="FU44" s="75"/>
      <c r="FV44" s="75"/>
      <c r="FW44" s="75"/>
      <c r="FX44" s="75"/>
      <c r="FY44" s="75"/>
      <c r="FZ44" s="75"/>
      <c r="GA44" s="75"/>
      <c r="GB44" s="75"/>
      <c r="GC44" s="75"/>
      <c r="GD44" s="75"/>
      <c r="GE44" s="75"/>
      <c r="GF44" s="75"/>
      <c r="GG44" s="75"/>
      <c r="GH44" s="75"/>
      <c r="GI44" s="75"/>
      <c r="GJ44" s="75"/>
      <c r="GK44" s="75"/>
      <c r="GL44" s="75"/>
      <c r="GM44" s="75"/>
      <c r="GN44" s="75"/>
      <c r="GO44" s="75"/>
      <c r="GP44" s="75"/>
      <c r="GQ44" s="75"/>
      <c r="GR44" s="75"/>
      <c r="GS44" s="75"/>
      <c r="GT44" s="75"/>
      <c r="GU44" s="75"/>
      <c r="GV44" s="75"/>
      <c r="GW44" s="75"/>
      <c r="GX44" s="75"/>
      <c r="GY44" s="75"/>
      <c r="GZ44" s="75"/>
      <c r="HA44" s="75"/>
      <c r="HB44" s="75"/>
      <c r="HC44" s="75"/>
      <c r="HD44" s="75"/>
      <c r="HE44" s="75"/>
      <c r="HF44" s="75"/>
      <c r="HG44" s="75"/>
      <c r="HH44" s="75"/>
      <c r="HI44" s="75"/>
      <c r="HJ44" s="75"/>
      <c r="HK44" s="75"/>
      <c r="HL44" s="75"/>
      <c r="HM44" s="75"/>
      <c r="HN44" s="75"/>
      <c r="HO44" s="75"/>
      <c r="HP44" s="75"/>
      <c r="HQ44" s="75"/>
      <c r="HR44" s="75"/>
      <c r="HS44" s="75"/>
      <c r="HT44" s="75"/>
      <c r="HU44" s="75"/>
      <c r="HV44" s="75"/>
      <c r="HW44" s="75"/>
      <c r="HX44" s="75"/>
      <c r="HY44" s="75"/>
      <c r="HZ44" s="75"/>
      <c r="IA44" s="75"/>
      <c r="IB44" s="75"/>
      <c r="IC44" s="75"/>
      <c r="ID44" s="75"/>
      <c r="IE44" s="75"/>
      <c r="IF44" s="75"/>
      <c r="IG44" s="75"/>
      <c r="IH44" s="75"/>
      <c r="II44" s="75"/>
      <c r="IJ44" s="75"/>
      <c r="IK44" s="75"/>
      <c r="IL44" s="75"/>
      <c r="IM44" s="75"/>
      <c r="IN44" s="75"/>
      <c r="IO44" s="75"/>
      <c r="IP44" s="75"/>
      <c r="IQ44" s="75"/>
      <c r="IR44" s="75"/>
      <c r="IS44" s="75"/>
      <c r="IT44" s="75"/>
      <c r="IU44" s="75"/>
      <c r="IV44" s="75"/>
      <c r="IW44" s="75"/>
      <c r="IX44" s="75"/>
      <c r="IY44" s="75"/>
      <c r="IZ44" s="75"/>
      <c r="JA44" s="75"/>
      <c r="JB44" s="75"/>
      <c r="JC44" s="75"/>
      <c r="JD44" s="75"/>
      <c r="JE44" s="75"/>
      <c r="JF44" s="75"/>
      <c r="JG44" s="75"/>
      <c r="JH44" s="75"/>
      <c r="JI44" s="75"/>
      <c r="JJ44" s="75"/>
      <c r="JK44" s="75"/>
      <c r="JL44" s="75"/>
      <c r="JM44" s="75"/>
      <c r="JN44" s="75"/>
      <c r="JO44" s="75"/>
      <c r="JP44" s="75"/>
      <c r="JQ44" s="75"/>
      <c r="JR44" s="75"/>
      <c r="JS44" s="75"/>
      <c r="JT44" s="75"/>
      <c r="JU44" s="75"/>
      <c r="JV44" s="75"/>
      <c r="JW44" s="75"/>
      <c r="JX44" s="75"/>
      <c r="JY44" s="75"/>
      <c r="JZ44" s="75"/>
      <c r="KA44" s="75"/>
      <c r="KB44" s="75"/>
      <c r="KC44" s="75"/>
      <c r="KD44" s="75"/>
      <c r="KE44" s="75"/>
      <c r="KF44" s="75"/>
      <c r="KG44" s="75"/>
      <c r="KH44" s="75"/>
      <c r="KI44" s="75"/>
      <c r="KJ44" s="75"/>
      <c r="KK44" s="75"/>
    </row>
    <row r="45" spans="1:297" ht="30" customHeight="1" x14ac:dyDescent="0.25">
      <c r="A45" s="33" t="s">
        <v>133</v>
      </c>
      <c r="B45" s="12" t="s">
        <v>134</v>
      </c>
      <c r="C45" s="4">
        <f>_xlfn.XLOOKUP(B45,Lookups!G:G,Lookups!H:H,"",0,1)</f>
        <v>10</v>
      </c>
      <c r="D45" s="4" t="str">
        <f>_xlfn.XLOOKUP(C45,[1]Sheet2!$A$2:$A$11,[1]Sheet2!$B$2:$B$11,"Not found")</f>
        <v>Suggested Learning</v>
      </c>
      <c r="E45" s="4"/>
      <c r="F45" s="13" t="str">
        <f>_xlfn.XLOOKUP(B45,voco!B:B,voco!F:F,"",0,1)</f>
        <v>Self-paced Online Learning (15 Minutes).</v>
      </c>
      <c r="G45" s="18" t="s">
        <v>169</v>
      </c>
      <c r="H45" s="18" t="s">
        <v>169</v>
      </c>
      <c r="I45" s="18" t="s">
        <v>169</v>
      </c>
      <c r="J45" s="18" t="s">
        <v>169</v>
      </c>
      <c r="K45" s="18" t="s">
        <v>169</v>
      </c>
      <c r="L45" s="18" t="s">
        <v>170</v>
      </c>
      <c r="M45" s="18" t="s">
        <v>169</v>
      </c>
      <c r="N45" s="18" t="s">
        <v>169</v>
      </c>
      <c r="O45" s="18" t="s">
        <v>169</v>
      </c>
      <c r="P45" s="18" t="s">
        <v>170</v>
      </c>
      <c r="Q45" s="18" t="s">
        <v>169</v>
      </c>
      <c r="R45" s="18" t="s">
        <v>169</v>
      </c>
      <c r="S45" s="18" t="s">
        <v>169</v>
      </c>
      <c r="T45" s="79"/>
      <c r="U45" s="79"/>
      <c r="V45" s="79"/>
      <c r="W45" s="79"/>
      <c r="X45" s="79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  <c r="BE45" s="75"/>
      <c r="BF45" s="75"/>
      <c r="BG45" s="75"/>
      <c r="BH45" s="75"/>
      <c r="BI45" s="75"/>
      <c r="BJ45" s="75"/>
      <c r="BK45" s="75"/>
      <c r="BL45" s="75"/>
      <c r="BM45" s="75"/>
      <c r="BN45" s="75"/>
      <c r="BO45" s="75"/>
      <c r="BP45" s="75"/>
      <c r="BQ45" s="75"/>
      <c r="BR45" s="75"/>
      <c r="BS45" s="75"/>
      <c r="BT45" s="75"/>
      <c r="BU45" s="75"/>
      <c r="BV45" s="75"/>
      <c r="BW45" s="75"/>
      <c r="BX45" s="75"/>
      <c r="BY45" s="75"/>
      <c r="BZ45" s="75"/>
      <c r="CA45" s="75"/>
      <c r="CB45" s="75"/>
      <c r="CC45" s="75"/>
      <c r="CD45" s="75"/>
      <c r="CE45" s="75"/>
      <c r="CF45" s="75"/>
      <c r="CG45" s="75"/>
      <c r="CH45" s="75"/>
      <c r="CI45" s="75"/>
      <c r="CJ45" s="75"/>
      <c r="CK45" s="75"/>
      <c r="CL45" s="75"/>
      <c r="CM45" s="75"/>
      <c r="CN45" s="75"/>
      <c r="CO45" s="75"/>
      <c r="CP45" s="75"/>
      <c r="CQ45" s="75"/>
      <c r="CR45" s="75"/>
      <c r="CS45" s="75"/>
      <c r="CT45" s="75"/>
      <c r="CU45" s="75"/>
      <c r="CV45" s="75"/>
      <c r="CW45" s="75"/>
      <c r="CX45" s="75"/>
      <c r="CY45" s="75"/>
      <c r="CZ45" s="75"/>
      <c r="DA45" s="75"/>
      <c r="DB45" s="75"/>
      <c r="DC45" s="75"/>
      <c r="DD45" s="75"/>
      <c r="DE45" s="75"/>
      <c r="DF45" s="75"/>
      <c r="DG45" s="75"/>
      <c r="DH45" s="75"/>
      <c r="DI45" s="75"/>
      <c r="DJ45" s="75"/>
      <c r="DK45" s="75"/>
      <c r="DL45" s="75"/>
      <c r="DM45" s="75"/>
      <c r="DN45" s="75"/>
      <c r="DO45" s="75"/>
      <c r="DP45" s="75"/>
      <c r="DQ45" s="75"/>
      <c r="DR45" s="75"/>
      <c r="DS45" s="75"/>
      <c r="DT45" s="75"/>
      <c r="DU45" s="75"/>
      <c r="DV45" s="75"/>
      <c r="DW45" s="75"/>
      <c r="DX45" s="75"/>
      <c r="DY45" s="75"/>
      <c r="DZ45" s="75"/>
      <c r="EA45" s="75"/>
      <c r="EB45" s="75"/>
      <c r="EC45" s="75"/>
      <c r="ED45" s="75"/>
      <c r="EE45" s="75"/>
      <c r="EF45" s="75"/>
      <c r="EG45" s="75"/>
      <c r="EH45" s="75"/>
      <c r="EI45" s="75"/>
      <c r="EJ45" s="75"/>
      <c r="EK45" s="75"/>
      <c r="EL45" s="75"/>
      <c r="EM45" s="75"/>
      <c r="EN45" s="75"/>
      <c r="EO45" s="75"/>
      <c r="EP45" s="75"/>
      <c r="EQ45" s="75"/>
      <c r="ER45" s="75"/>
      <c r="ES45" s="75"/>
      <c r="ET45" s="75"/>
      <c r="EU45" s="75"/>
      <c r="EV45" s="75"/>
      <c r="EW45" s="75"/>
      <c r="EX45" s="75"/>
      <c r="EY45" s="75"/>
      <c r="EZ45" s="75"/>
      <c r="FA45" s="75"/>
      <c r="FB45" s="75"/>
      <c r="FC45" s="75"/>
      <c r="FD45" s="75"/>
      <c r="FE45" s="75"/>
      <c r="FF45" s="75"/>
      <c r="FG45" s="75"/>
      <c r="FH45" s="75"/>
      <c r="FI45" s="75"/>
      <c r="FJ45" s="75"/>
      <c r="FK45" s="75"/>
      <c r="FL45" s="75"/>
      <c r="FM45" s="75"/>
      <c r="FN45" s="75"/>
      <c r="FO45" s="75"/>
      <c r="FP45" s="75"/>
      <c r="FQ45" s="75"/>
      <c r="FR45" s="75"/>
      <c r="FS45" s="75"/>
      <c r="FT45" s="75"/>
      <c r="FU45" s="75"/>
      <c r="FV45" s="75"/>
      <c r="FW45" s="75"/>
      <c r="FX45" s="75"/>
      <c r="FY45" s="75"/>
      <c r="FZ45" s="75"/>
      <c r="GA45" s="75"/>
      <c r="GB45" s="75"/>
      <c r="GC45" s="75"/>
      <c r="GD45" s="75"/>
      <c r="GE45" s="75"/>
      <c r="GF45" s="75"/>
      <c r="GG45" s="75"/>
      <c r="GH45" s="75"/>
      <c r="GI45" s="75"/>
      <c r="GJ45" s="75"/>
      <c r="GK45" s="75"/>
      <c r="GL45" s="75"/>
      <c r="GM45" s="75"/>
      <c r="GN45" s="75"/>
      <c r="GO45" s="75"/>
      <c r="GP45" s="75"/>
      <c r="GQ45" s="75"/>
      <c r="GR45" s="75"/>
      <c r="GS45" s="75"/>
      <c r="GT45" s="75"/>
      <c r="GU45" s="75"/>
      <c r="GV45" s="75"/>
      <c r="GW45" s="75"/>
      <c r="GX45" s="75"/>
      <c r="GY45" s="75"/>
      <c r="GZ45" s="75"/>
      <c r="HA45" s="75"/>
      <c r="HB45" s="75"/>
      <c r="HC45" s="75"/>
      <c r="HD45" s="75"/>
      <c r="HE45" s="75"/>
      <c r="HF45" s="75"/>
      <c r="HG45" s="75"/>
      <c r="HH45" s="75"/>
      <c r="HI45" s="75"/>
      <c r="HJ45" s="75"/>
      <c r="HK45" s="75"/>
      <c r="HL45" s="75"/>
      <c r="HM45" s="75"/>
      <c r="HN45" s="75"/>
      <c r="HO45" s="75"/>
      <c r="HP45" s="75"/>
      <c r="HQ45" s="75"/>
      <c r="HR45" s="75"/>
      <c r="HS45" s="75"/>
      <c r="HT45" s="75"/>
      <c r="HU45" s="75"/>
      <c r="HV45" s="75"/>
      <c r="HW45" s="75"/>
      <c r="HX45" s="75"/>
      <c r="HY45" s="75"/>
      <c r="HZ45" s="75"/>
      <c r="IA45" s="75"/>
      <c r="IB45" s="75"/>
      <c r="IC45" s="75"/>
      <c r="ID45" s="75"/>
      <c r="IE45" s="75"/>
      <c r="IF45" s="75"/>
      <c r="IG45" s="75"/>
      <c r="IH45" s="75"/>
      <c r="II45" s="75"/>
      <c r="IJ45" s="75"/>
      <c r="IK45" s="75"/>
      <c r="IL45" s="75"/>
      <c r="IM45" s="75"/>
      <c r="IN45" s="75"/>
      <c r="IO45" s="75"/>
      <c r="IP45" s="75"/>
      <c r="IQ45" s="75"/>
      <c r="IR45" s="75"/>
      <c r="IS45" s="75"/>
      <c r="IT45" s="75"/>
      <c r="IU45" s="75"/>
      <c r="IV45" s="75"/>
      <c r="IW45" s="75"/>
      <c r="IX45" s="75"/>
      <c r="IY45" s="75"/>
      <c r="IZ45" s="75"/>
      <c r="JA45" s="75"/>
      <c r="JB45" s="75"/>
      <c r="JC45" s="75"/>
      <c r="JD45" s="75"/>
      <c r="JE45" s="75"/>
      <c r="JF45" s="75"/>
      <c r="JG45" s="75"/>
      <c r="JH45" s="75"/>
      <c r="JI45" s="75"/>
      <c r="JJ45" s="75"/>
      <c r="JK45" s="75"/>
      <c r="JL45" s="75"/>
      <c r="JM45" s="75"/>
      <c r="JN45" s="75"/>
      <c r="JO45" s="75"/>
      <c r="JP45" s="75"/>
      <c r="JQ45" s="75"/>
      <c r="JR45" s="75"/>
      <c r="JS45" s="75"/>
      <c r="JT45" s="75"/>
      <c r="JU45" s="75"/>
      <c r="JV45" s="75"/>
      <c r="JW45" s="75"/>
      <c r="JX45" s="75"/>
      <c r="JY45" s="75"/>
      <c r="JZ45" s="75"/>
      <c r="KA45" s="75"/>
      <c r="KB45" s="75"/>
      <c r="KC45" s="75"/>
      <c r="KD45" s="75"/>
      <c r="KE45" s="75"/>
      <c r="KF45" s="75"/>
      <c r="KG45" s="75"/>
      <c r="KH45" s="75"/>
      <c r="KI45" s="75"/>
      <c r="KJ45" s="75"/>
      <c r="KK45" s="75"/>
    </row>
    <row r="46" spans="1:297" ht="30" customHeight="1" x14ac:dyDescent="0.25">
      <c r="A46" s="34" t="s">
        <v>135</v>
      </c>
      <c r="B46" s="17" t="s">
        <v>136</v>
      </c>
      <c r="C46" s="4">
        <f>_xlfn.XLOOKUP(B46,Lookups!G:G,Lookups!H:H,"",0,1)</f>
        <v>10</v>
      </c>
      <c r="D46" s="4" t="str">
        <f>_xlfn.XLOOKUP(C46,[1]Sheet2!$A$2:$A$11,[1]Sheet2!$B$2:$B$11,"Not found")</f>
        <v>Suggested Learning</v>
      </c>
      <c r="E46" s="4"/>
      <c r="F46" s="13" t="str">
        <f>_xlfn.XLOOKUP(B46,voco!B:B,voco!F:F,"",0,1)</f>
        <v>Self-paced Online Learning (15 Minutes).</v>
      </c>
      <c r="G46" s="18" t="s">
        <v>169</v>
      </c>
      <c r="H46" s="18" t="s">
        <v>169</v>
      </c>
      <c r="I46" s="18" t="s">
        <v>169</v>
      </c>
      <c r="J46" s="18" t="s">
        <v>169</v>
      </c>
      <c r="K46" s="18" t="s">
        <v>169</v>
      </c>
      <c r="L46" s="13" t="s">
        <v>170</v>
      </c>
      <c r="M46" s="18" t="s">
        <v>169</v>
      </c>
      <c r="N46" s="18" t="s">
        <v>169</v>
      </c>
      <c r="O46" s="18" t="s">
        <v>169</v>
      </c>
      <c r="P46" s="18" t="s">
        <v>170</v>
      </c>
      <c r="Q46" s="18" t="s">
        <v>169</v>
      </c>
      <c r="R46" s="18" t="s">
        <v>169</v>
      </c>
      <c r="S46" s="18" t="s">
        <v>169</v>
      </c>
      <c r="T46" s="79"/>
      <c r="U46" s="79"/>
      <c r="V46" s="79"/>
      <c r="W46" s="79"/>
      <c r="X46" s="79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  <c r="BE46" s="75"/>
      <c r="BF46" s="75"/>
      <c r="BG46" s="75"/>
      <c r="BH46" s="75"/>
      <c r="BI46" s="75"/>
      <c r="BJ46" s="75"/>
      <c r="BK46" s="75"/>
      <c r="BL46" s="75"/>
      <c r="BM46" s="75"/>
      <c r="BN46" s="75"/>
      <c r="BO46" s="75"/>
      <c r="BP46" s="75"/>
      <c r="BQ46" s="75"/>
      <c r="BR46" s="75"/>
      <c r="BS46" s="75"/>
      <c r="BT46" s="75"/>
      <c r="BU46" s="75"/>
      <c r="BV46" s="75"/>
      <c r="BW46" s="75"/>
      <c r="BX46" s="75"/>
      <c r="BY46" s="75"/>
      <c r="BZ46" s="75"/>
      <c r="CA46" s="75"/>
      <c r="CB46" s="75"/>
      <c r="CC46" s="75"/>
      <c r="CD46" s="75"/>
      <c r="CE46" s="75"/>
      <c r="CF46" s="75"/>
      <c r="CG46" s="75"/>
      <c r="CH46" s="75"/>
      <c r="CI46" s="75"/>
      <c r="CJ46" s="75"/>
      <c r="CK46" s="75"/>
      <c r="CL46" s="75"/>
      <c r="CM46" s="75"/>
      <c r="CN46" s="75"/>
      <c r="CO46" s="75"/>
      <c r="CP46" s="75"/>
      <c r="CQ46" s="75"/>
      <c r="CR46" s="75"/>
      <c r="CS46" s="75"/>
      <c r="CT46" s="75"/>
      <c r="CU46" s="75"/>
      <c r="CV46" s="75"/>
      <c r="CW46" s="75"/>
      <c r="CX46" s="75"/>
      <c r="CY46" s="75"/>
      <c r="CZ46" s="75"/>
      <c r="DA46" s="75"/>
      <c r="DB46" s="75"/>
      <c r="DC46" s="75"/>
      <c r="DD46" s="75"/>
      <c r="DE46" s="75"/>
      <c r="DF46" s="75"/>
      <c r="DG46" s="75"/>
      <c r="DH46" s="75"/>
      <c r="DI46" s="75"/>
      <c r="DJ46" s="75"/>
      <c r="DK46" s="75"/>
      <c r="DL46" s="75"/>
      <c r="DM46" s="75"/>
      <c r="DN46" s="75"/>
      <c r="DO46" s="75"/>
      <c r="DP46" s="75"/>
      <c r="DQ46" s="75"/>
      <c r="DR46" s="75"/>
      <c r="DS46" s="75"/>
      <c r="DT46" s="75"/>
      <c r="DU46" s="75"/>
      <c r="DV46" s="75"/>
      <c r="DW46" s="75"/>
      <c r="DX46" s="75"/>
      <c r="DY46" s="75"/>
      <c r="DZ46" s="75"/>
      <c r="EA46" s="75"/>
      <c r="EB46" s="75"/>
      <c r="EC46" s="75"/>
      <c r="ED46" s="75"/>
      <c r="EE46" s="75"/>
      <c r="EF46" s="75"/>
      <c r="EG46" s="75"/>
      <c r="EH46" s="75"/>
      <c r="EI46" s="75"/>
      <c r="EJ46" s="75"/>
      <c r="EK46" s="75"/>
      <c r="EL46" s="75"/>
      <c r="EM46" s="75"/>
      <c r="EN46" s="75"/>
      <c r="EO46" s="75"/>
      <c r="EP46" s="75"/>
      <c r="EQ46" s="75"/>
      <c r="ER46" s="75"/>
      <c r="ES46" s="75"/>
      <c r="ET46" s="75"/>
      <c r="EU46" s="75"/>
      <c r="EV46" s="75"/>
      <c r="EW46" s="75"/>
      <c r="EX46" s="75"/>
      <c r="EY46" s="75"/>
      <c r="EZ46" s="75"/>
      <c r="FA46" s="75"/>
      <c r="FB46" s="75"/>
      <c r="FC46" s="75"/>
      <c r="FD46" s="75"/>
      <c r="FE46" s="75"/>
      <c r="FF46" s="75"/>
      <c r="FG46" s="75"/>
      <c r="FH46" s="75"/>
      <c r="FI46" s="75"/>
      <c r="FJ46" s="75"/>
      <c r="FK46" s="75"/>
      <c r="FL46" s="75"/>
      <c r="FM46" s="75"/>
      <c r="FN46" s="75"/>
      <c r="FO46" s="75"/>
      <c r="FP46" s="75"/>
      <c r="FQ46" s="75"/>
      <c r="FR46" s="75"/>
      <c r="FS46" s="75"/>
      <c r="FT46" s="75"/>
      <c r="FU46" s="75"/>
      <c r="FV46" s="75"/>
      <c r="FW46" s="75"/>
      <c r="FX46" s="75"/>
      <c r="FY46" s="75"/>
      <c r="FZ46" s="75"/>
      <c r="GA46" s="75"/>
      <c r="GB46" s="75"/>
      <c r="GC46" s="75"/>
      <c r="GD46" s="75"/>
      <c r="GE46" s="75"/>
      <c r="GF46" s="75"/>
      <c r="GG46" s="75"/>
      <c r="GH46" s="75"/>
      <c r="GI46" s="75"/>
      <c r="GJ46" s="75"/>
      <c r="GK46" s="75"/>
      <c r="GL46" s="75"/>
      <c r="GM46" s="75"/>
      <c r="GN46" s="75"/>
      <c r="GO46" s="75"/>
      <c r="GP46" s="75"/>
      <c r="GQ46" s="75"/>
      <c r="GR46" s="75"/>
      <c r="GS46" s="75"/>
      <c r="GT46" s="75"/>
      <c r="GU46" s="75"/>
      <c r="GV46" s="75"/>
      <c r="GW46" s="75"/>
      <c r="GX46" s="75"/>
      <c r="GY46" s="75"/>
      <c r="GZ46" s="75"/>
      <c r="HA46" s="75"/>
      <c r="HB46" s="75"/>
      <c r="HC46" s="75"/>
      <c r="HD46" s="75"/>
      <c r="HE46" s="75"/>
      <c r="HF46" s="75"/>
      <c r="HG46" s="75"/>
      <c r="HH46" s="75"/>
      <c r="HI46" s="75"/>
      <c r="HJ46" s="75"/>
      <c r="HK46" s="75"/>
      <c r="HL46" s="75"/>
      <c r="HM46" s="75"/>
      <c r="HN46" s="75"/>
      <c r="HO46" s="75"/>
      <c r="HP46" s="75"/>
      <c r="HQ46" s="75"/>
      <c r="HR46" s="75"/>
      <c r="HS46" s="75"/>
      <c r="HT46" s="75"/>
      <c r="HU46" s="75"/>
      <c r="HV46" s="75"/>
      <c r="HW46" s="75"/>
      <c r="HX46" s="75"/>
      <c r="HY46" s="75"/>
      <c r="HZ46" s="75"/>
      <c r="IA46" s="75"/>
      <c r="IB46" s="75"/>
      <c r="IC46" s="75"/>
      <c r="ID46" s="75"/>
      <c r="IE46" s="75"/>
      <c r="IF46" s="75"/>
      <c r="IG46" s="75"/>
      <c r="IH46" s="75"/>
      <c r="II46" s="75"/>
      <c r="IJ46" s="75"/>
      <c r="IK46" s="75"/>
      <c r="IL46" s="75"/>
      <c r="IM46" s="75"/>
      <c r="IN46" s="75"/>
      <c r="IO46" s="75"/>
      <c r="IP46" s="75"/>
      <c r="IQ46" s="75"/>
      <c r="IR46" s="75"/>
      <c r="IS46" s="75"/>
      <c r="IT46" s="75"/>
      <c r="IU46" s="75"/>
      <c r="IV46" s="75"/>
      <c r="IW46" s="75"/>
      <c r="IX46" s="75"/>
      <c r="IY46" s="75"/>
      <c r="IZ46" s="75"/>
      <c r="JA46" s="75"/>
      <c r="JB46" s="75"/>
      <c r="JC46" s="75"/>
      <c r="JD46" s="75"/>
      <c r="JE46" s="75"/>
      <c r="JF46" s="75"/>
      <c r="JG46" s="75"/>
      <c r="JH46" s="75"/>
      <c r="JI46" s="75"/>
      <c r="JJ46" s="75"/>
      <c r="JK46" s="75"/>
      <c r="JL46" s="75"/>
      <c r="JM46" s="75"/>
      <c r="JN46" s="75"/>
      <c r="JO46" s="75"/>
      <c r="JP46" s="75"/>
      <c r="JQ46" s="75"/>
      <c r="JR46" s="75"/>
      <c r="JS46" s="75"/>
      <c r="JT46" s="75"/>
      <c r="JU46" s="75"/>
      <c r="JV46" s="75"/>
      <c r="JW46" s="75"/>
      <c r="JX46" s="75"/>
      <c r="JY46" s="75"/>
      <c r="JZ46" s="75"/>
      <c r="KA46" s="75"/>
      <c r="KB46" s="75"/>
      <c r="KC46" s="75"/>
      <c r="KD46" s="75"/>
      <c r="KE46" s="75"/>
      <c r="KF46" s="75"/>
      <c r="KG46" s="75"/>
      <c r="KH46" s="75"/>
      <c r="KI46" s="75"/>
      <c r="KJ46" s="75"/>
      <c r="KK46" s="75"/>
    </row>
    <row r="47" spans="1:297" ht="30" customHeight="1" x14ac:dyDescent="0.25">
      <c r="A47" s="34" t="s">
        <v>137</v>
      </c>
      <c r="B47" s="17" t="s">
        <v>138</v>
      </c>
      <c r="C47" s="4">
        <f>_xlfn.XLOOKUP(B47,Lookups!G:G,Lookups!H:H,"",0,1)</f>
        <v>10</v>
      </c>
      <c r="D47" s="4" t="str">
        <f>_xlfn.XLOOKUP(C47,[1]Sheet2!$A$2:$A$11,[1]Sheet2!$B$2:$B$11,"Not found")</f>
        <v>Suggested Learning</v>
      </c>
      <c r="E47" s="4"/>
      <c r="F47" s="13" t="str">
        <f>_xlfn.XLOOKUP(B47,voco!B:B,voco!F:F,"",0,1)</f>
        <v>Self-paced Online Learning.</v>
      </c>
      <c r="G47" s="18" t="s">
        <v>169</v>
      </c>
      <c r="H47" s="18" t="s">
        <v>169</v>
      </c>
      <c r="I47" s="18" t="s">
        <v>169</v>
      </c>
      <c r="J47" s="18" t="s">
        <v>169</v>
      </c>
      <c r="K47" s="18" t="s">
        <v>169</v>
      </c>
      <c r="L47" s="13" t="s">
        <v>170</v>
      </c>
      <c r="M47" s="18" t="s">
        <v>169</v>
      </c>
      <c r="N47" s="18" t="s">
        <v>169</v>
      </c>
      <c r="O47" s="18" t="s">
        <v>169</v>
      </c>
      <c r="P47" s="18" t="s">
        <v>170</v>
      </c>
      <c r="Q47" s="18" t="s">
        <v>169</v>
      </c>
      <c r="R47" s="18" t="s">
        <v>169</v>
      </c>
      <c r="S47" s="18" t="s">
        <v>169</v>
      </c>
      <c r="T47" s="79"/>
      <c r="U47" s="79"/>
      <c r="V47" s="79"/>
      <c r="W47" s="79"/>
      <c r="X47" s="79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  <c r="BD47" s="75"/>
      <c r="BE47" s="75"/>
      <c r="BF47" s="75"/>
      <c r="BG47" s="75"/>
      <c r="BH47" s="75"/>
      <c r="BI47" s="75"/>
      <c r="BJ47" s="75"/>
      <c r="BK47" s="75"/>
      <c r="BL47" s="75"/>
      <c r="BM47" s="75"/>
      <c r="BN47" s="75"/>
      <c r="BO47" s="75"/>
      <c r="BP47" s="75"/>
      <c r="BQ47" s="75"/>
      <c r="BR47" s="75"/>
      <c r="BS47" s="75"/>
      <c r="BT47" s="75"/>
      <c r="BU47" s="75"/>
      <c r="BV47" s="75"/>
      <c r="BW47" s="75"/>
      <c r="BX47" s="75"/>
      <c r="BY47" s="75"/>
      <c r="BZ47" s="75"/>
      <c r="CA47" s="75"/>
      <c r="CB47" s="75"/>
      <c r="CC47" s="75"/>
      <c r="CD47" s="75"/>
      <c r="CE47" s="75"/>
      <c r="CF47" s="75"/>
      <c r="CG47" s="75"/>
      <c r="CH47" s="75"/>
      <c r="CI47" s="75"/>
      <c r="CJ47" s="75"/>
      <c r="CK47" s="75"/>
      <c r="CL47" s="75"/>
      <c r="CM47" s="75"/>
      <c r="CN47" s="75"/>
      <c r="CO47" s="75"/>
      <c r="CP47" s="75"/>
      <c r="CQ47" s="75"/>
      <c r="CR47" s="75"/>
      <c r="CS47" s="75"/>
      <c r="CT47" s="75"/>
      <c r="CU47" s="75"/>
      <c r="CV47" s="75"/>
      <c r="CW47" s="75"/>
      <c r="CX47" s="75"/>
      <c r="CY47" s="75"/>
      <c r="CZ47" s="75"/>
      <c r="DA47" s="75"/>
      <c r="DB47" s="75"/>
      <c r="DC47" s="75"/>
      <c r="DD47" s="75"/>
      <c r="DE47" s="75"/>
      <c r="DF47" s="75"/>
      <c r="DG47" s="75"/>
      <c r="DH47" s="75"/>
      <c r="DI47" s="75"/>
      <c r="DJ47" s="75"/>
      <c r="DK47" s="75"/>
      <c r="DL47" s="75"/>
      <c r="DM47" s="75"/>
      <c r="DN47" s="75"/>
      <c r="DO47" s="75"/>
      <c r="DP47" s="75"/>
      <c r="DQ47" s="75"/>
      <c r="DR47" s="75"/>
      <c r="DS47" s="75"/>
      <c r="DT47" s="75"/>
      <c r="DU47" s="75"/>
      <c r="DV47" s="75"/>
      <c r="DW47" s="75"/>
      <c r="DX47" s="75"/>
      <c r="DY47" s="75"/>
      <c r="DZ47" s="75"/>
      <c r="EA47" s="75"/>
      <c r="EB47" s="75"/>
      <c r="EC47" s="75"/>
      <c r="ED47" s="75"/>
      <c r="EE47" s="75"/>
      <c r="EF47" s="75"/>
      <c r="EG47" s="75"/>
      <c r="EH47" s="75"/>
      <c r="EI47" s="75"/>
      <c r="EJ47" s="75"/>
      <c r="EK47" s="75"/>
      <c r="EL47" s="75"/>
      <c r="EM47" s="75"/>
      <c r="EN47" s="75"/>
      <c r="EO47" s="75"/>
      <c r="EP47" s="75"/>
      <c r="EQ47" s="75"/>
      <c r="ER47" s="75"/>
      <c r="ES47" s="75"/>
      <c r="ET47" s="75"/>
      <c r="EU47" s="75"/>
      <c r="EV47" s="75"/>
      <c r="EW47" s="75"/>
      <c r="EX47" s="75"/>
      <c r="EY47" s="75"/>
      <c r="EZ47" s="75"/>
      <c r="FA47" s="75"/>
      <c r="FB47" s="75"/>
      <c r="FC47" s="75"/>
      <c r="FD47" s="75"/>
      <c r="FE47" s="75"/>
      <c r="FF47" s="75"/>
      <c r="FG47" s="75"/>
      <c r="FH47" s="75"/>
      <c r="FI47" s="75"/>
      <c r="FJ47" s="75"/>
      <c r="FK47" s="75"/>
      <c r="FL47" s="75"/>
      <c r="FM47" s="75"/>
      <c r="FN47" s="75"/>
      <c r="FO47" s="75"/>
      <c r="FP47" s="75"/>
      <c r="FQ47" s="75"/>
      <c r="FR47" s="75"/>
      <c r="FS47" s="75"/>
      <c r="FT47" s="75"/>
      <c r="FU47" s="75"/>
      <c r="FV47" s="75"/>
      <c r="FW47" s="75"/>
      <c r="FX47" s="75"/>
      <c r="FY47" s="75"/>
      <c r="FZ47" s="75"/>
      <c r="GA47" s="75"/>
      <c r="GB47" s="75"/>
      <c r="GC47" s="75"/>
      <c r="GD47" s="75"/>
      <c r="GE47" s="75"/>
      <c r="GF47" s="75"/>
      <c r="GG47" s="75"/>
      <c r="GH47" s="75"/>
      <c r="GI47" s="75"/>
      <c r="GJ47" s="75"/>
      <c r="GK47" s="75"/>
      <c r="GL47" s="75"/>
      <c r="GM47" s="75"/>
      <c r="GN47" s="75"/>
      <c r="GO47" s="75"/>
      <c r="GP47" s="75"/>
      <c r="GQ47" s="75"/>
      <c r="GR47" s="75"/>
      <c r="GS47" s="75"/>
      <c r="GT47" s="75"/>
      <c r="GU47" s="75"/>
      <c r="GV47" s="75"/>
      <c r="GW47" s="75"/>
      <c r="GX47" s="75"/>
      <c r="GY47" s="75"/>
      <c r="GZ47" s="75"/>
      <c r="HA47" s="75"/>
      <c r="HB47" s="75"/>
      <c r="HC47" s="75"/>
      <c r="HD47" s="75"/>
      <c r="HE47" s="75"/>
      <c r="HF47" s="75"/>
      <c r="HG47" s="75"/>
      <c r="HH47" s="75"/>
      <c r="HI47" s="75"/>
      <c r="HJ47" s="75"/>
      <c r="HK47" s="75"/>
      <c r="HL47" s="75"/>
      <c r="HM47" s="75"/>
      <c r="HN47" s="75"/>
      <c r="HO47" s="75"/>
      <c r="HP47" s="75"/>
      <c r="HQ47" s="75"/>
      <c r="HR47" s="75"/>
      <c r="HS47" s="75"/>
      <c r="HT47" s="75"/>
      <c r="HU47" s="75"/>
      <c r="HV47" s="75"/>
      <c r="HW47" s="75"/>
      <c r="HX47" s="75"/>
      <c r="HY47" s="75"/>
      <c r="HZ47" s="75"/>
      <c r="IA47" s="75"/>
      <c r="IB47" s="75"/>
      <c r="IC47" s="75"/>
      <c r="ID47" s="75"/>
      <c r="IE47" s="75"/>
      <c r="IF47" s="75"/>
      <c r="IG47" s="75"/>
      <c r="IH47" s="75"/>
      <c r="II47" s="75"/>
      <c r="IJ47" s="75"/>
      <c r="IK47" s="75"/>
      <c r="IL47" s="75"/>
      <c r="IM47" s="75"/>
      <c r="IN47" s="75"/>
      <c r="IO47" s="75"/>
      <c r="IP47" s="75"/>
      <c r="IQ47" s="75"/>
      <c r="IR47" s="75"/>
      <c r="IS47" s="75"/>
      <c r="IT47" s="75"/>
      <c r="IU47" s="75"/>
      <c r="IV47" s="75"/>
      <c r="IW47" s="75"/>
      <c r="IX47" s="75"/>
      <c r="IY47" s="75"/>
      <c r="IZ47" s="75"/>
      <c r="JA47" s="75"/>
      <c r="JB47" s="75"/>
      <c r="JC47" s="75"/>
      <c r="JD47" s="75"/>
      <c r="JE47" s="75"/>
      <c r="JF47" s="75"/>
      <c r="JG47" s="75"/>
      <c r="JH47" s="75"/>
      <c r="JI47" s="75"/>
      <c r="JJ47" s="75"/>
      <c r="JK47" s="75"/>
      <c r="JL47" s="75"/>
      <c r="JM47" s="75"/>
      <c r="JN47" s="75"/>
      <c r="JO47" s="75"/>
      <c r="JP47" s="75"/>
      <c r="JQ47" s="75"/>
      <c r="JR47" s="75"/>
      <c r="JS47" s="75"/>
      <c r="JT47" s="75"/>
      <c r="JU47" s="75"/>
      <c r="JV47" s="75"/>
      <c r="JW47" s="75"/>
      <c r="JX47" s="75"/>
      <c r="JY47" s="75"/>
      <c r="JZ47" s="75"/>
      <c r="KA47" s="75"/>
      <c r="KB47" s="75"/>
      <c r="KC47" s="75"/>
      <c r="KD47" s="75"/>
      <c r="KE47" s="75"/>
      <c r="KF47" s="75"/>
      <c r="KG47" s="75"/>
      <c r="KH47" s="75"/>
      <c r="KI47" s="75"/>
      <c r="KJ47" s="75"/>
      <c r="KK47" s="75"/>
    </row>
    <row r="48" spans="1:297" ht="30" customHeight="1" x14ac:dyDescent="0.25">
      <c r="A48" s="34" t="s">
        <v>152</v>
      </c>
      <c r="B48" s="17" t="s">
        <v>151</v>
      </c>
      <c r="C48" s="4">
        <f>_xlfn.XLOOKUP(B48,Lookups!G:G,Lookups!H:H,"",0,1)</f>
        <v>10</v>
      </c>
      <c r="D48" s="4" t="str">
        <f>_xlfn.XLOOKUP(C48,[1]Sheet2!$A$2:$A$11,[1]Sheet2!$B$2:$B$11,"Not found")</f>
        <v>Suggested Learning</v>
      </c>
      <c r="E48" s="4"/>
      <c r="F48" s="13" t="str">
        <f>_xlfn.XLOOKUP(B48,voco!B:B,voco!F:F,"",0,1)</f>
        <v>Self-paced Online Learning (30 Minutes).</v>
      </c>
      <c r="G48" s="18" t="s">
        <v>169</v>
      </c>
      <c r="H48" s="18" t="s">
        <v>169</v>
      </c>
      <c r="I48" s="18" t="s">
        <v>169</v>
      </c>
      <c r="J48" s="18" t="s">
        <v>169</v>
      </c>
      <c r="K48" s="18" t="s">
        <v>169</v>
      </c>
      <c r="L48" s="13" t="s">
        <v>170</v>
      </c>
      <c r="M48" s="18" t="s">
        <v>169</v>
      </c>
      <c r="N48" s="18" t="s">
        <v>169</v>
      </c>
      <c r="O48" s="18" t="s">
        <v>169</v>
      </c>
      <c r="P48" s="18" t="s">
        <v>170</v>
      </c>
      <c r="Q48" s="18" t="s">
        <v>169</v>
      </c>
      <c r="R48" s="18" t="s">
        <v>169</v>
      </c>
      <c r="S48" s="18" t="s">
        <v>169</v>
      </c>
      <c r="T48" s="79"/>
      <c r="U48" s="79"/>
      <c r="V48" s="79"/>
      <c r="W48" s="79"/>
      <c r="X48" s="79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75"/>
      <c r="BL48" s="75"/>
      <c r="BM48" s="75"/>
      <c r="BN48" s="75"/>
      <c r="BO48" s="75"/>
      <c r="BP48" s="75"/>
      <c r="BQ48" s="75"/>
      <c r="BR48" s="75"/>
      <c r="BS48" s="75"/>
      <c r="BT48" s="75"/>
      <c r="BU48" s="75"/>
      <c r="BV48" s="75"/>
      <c r="BW48" s="75"/>
      <c r="BX48" s="75"/>
      <c r="BY48" s="75"/>
      <c r="BZ48" s="75"/>
      <c r="CA48" s="75"/>
      <c r="CB48" s="75"/>
      <c r="CC48" s="75"/>
      <c r="CD48" s="75"/>
      <c r="CE48" s="75"/>
      <c r="CF48" s="75"/>
      <c r="CG48" s="75"/>
      <c r="CH48" s="75"/>
      <c r="CI48" s="75"/>
      <c r="CJ48" s="75"/>
      <c r="CK48" s="75"/>
      <c r="CL48" s="75"/>
      <c r="CM48" s="75"/>
      <c r="CN48" s="75"/>
      <c r="CO48" s="75"/>
      <c r="CP48" s="75"/>
      <c r="CQ48" s="75"/>
      <c r="CR48" s="75"/>
      <c r="CS48" s="75"/>
      <c r="CT48" s="75"/>
      <c r="CU48" s="75"/>
      <c r="CV48" s="75"/>
      <c r="CW48" s="75"/>
      <c r="CX48" s="75"/>
      <c r="CY48" s="75"/>
      <c r="CZ48" s="75"/>
      <c r="DA48" s="75"/>
      <c r="DB48" s="75"/>
      <c r="DC48" s="75"/>
      <c r="DD48" s="75"/>
      <c r="DE48" s="75"/>
      <c r="DF48" s="75"/>
      <c r="DG48" s="75"/>
      <c r="DH48" s="75"/>
      <c r="DI48" s="75"/>
      <c r="DJ48" s="75"/>
      <c r="DK48" s="75"/>
      <c r="DL48" s="75"/>
      <c r="DM48" s="75"/>
      <c r="DN48" s="75"/>
      <c r="DO48" s="75"/>
      <c r="DP48" s="75"/>
      <c r="DQ48" s="75"/>
      <c r="DR48" s="75"/>
      <c r="DS48" s="75"/>
      <c r="DT48" s="75"/>
      <c r="DU48" s="75"/>
      <c r="DV48" s="75"/>
      <c r="DW48" s="75"/>
      <c r="DX48" s="75"/>
      <c r="DY48" s="75"/>
      <c r="DZ48" s="75"/>
      <c r="EA48" s="75"/>
      <c r="EB48" s="75"/>
      <c r="EC48" s="75"/>
      <c r="ED48" s="75"/>
      <c r="EE48" s="75"/>
      <c r="EF48" s="75"/>
      <c r="EG48" s="75"/>
      <c r="EH48" s="75"/>
      <c r="EI48" s="75"/>
      <c r="EJ48" s="75"/>
      <c r="EK48" s="75"/>
      <c r="EL48" s="75"/>
      <c r="EM48" s="75"/>
      <c r="EN48" s="75"/>
      <c r="EO48" s="75"/>
      <c r="EP48" s="75"/>
      <c r="EQ48" s="75"/>
      <c r="ER48" s="75"/>
      <c r="ES48" s="75"/>
      <c r="ET48" s="75"/>
      <c r="EU48" s="75"/>
      <c r="EV48" s="75"/>
      <c r="EW48" s="75"/>
      <c r="EX48" s="75"/>
      <c r="EY48" s="75"/>
      <c r="EZ48" s="75"/>
      <c r="FA48" s="75"/>
      <c r="FB48" s="75"/>
      <c r="FC48" s="75"/>
      <c r="FD48" s="75"/>
      <c r="FE48" s="75"/>
      <c r="FF48" s="75"/>
      <c r="FG48" s="75"/>
      <c r="FH48" s="75"/>
      <c r="FI48" s="75"/>
      <c r="FJ48" s="75"/>
      <c r="FK48" s="75"/>
      <c r="FL48" s="75"/>
      <c r="FM48" s="75"/>
      <c r="FN48" s="75"/>
      <c r="FO48" s="75"/>
      <c r="FP48" s="75"/>
      <c r="FQ48" s="75"/>
      <c r="FR48" s="75"/>
      <c r="FS48" s="75"/>
      <c r="FT48" s="75"/>
      <c r="FU48" s="75"/>
      <c r="FV48" s="75"/>
      <c r="FW48" s="75"/>
      <c r="FX48" s="75"/>
      <c r="FY48" s="75"/>
      <c r="FZ48" s="75"/>
      <c r="GA48" s="75"/>
      <c r="GB48" s="75"/>
      <c r="GC48" s="75"/>
      <c r="GD48" s="75"/>
      <c r="GE48" s="75"/>
      <c r="GF48" s="75"/>
      <c r="GG48" s="75"/>
      <c r="GH48" s="75"/>
      <c r="GI48" s="75"/>
      <c r="GJ48" s="75"/>
      <c r="GK48" s="75"/>
      <c r="GL48" s="75"/>
      <c r="GM48" s="75"/>
      <c r="GN48" s="75"/>
      <c r="GO48" s="75"/>
      <c r="GP48" s="75"/>
      <c r="GQ48" s="75"/>
      <c r="GR48" s="75"/>
      <c r="GS48" s="75"/>
      <c r="GT48" s="75"/>
      <c r="GU48" s="75"/>
      <c r="GV48" s="75"/>
      <c r="GW48" s="75"/>
      <c r="GX48" s="75"/>
      <c r="GY48" s="75"/>
      <c r="GZ48" s="75"/>
      <c r="HA48" s="75"/>
      <c r="HB48" s="75"/>
      <c r="HC48" s="75"/>
      <c r="HD48" s="75"/>
      <c r="HE48" s="75"/>
      <c r="HF48" s="75"/>
      <c r="HG48" s="75"/>
      <c r="HH48" s="75"/>
      <c r="HI48" s="75"/>
      <c r="HJ48" s="75"/>
      <c r="HK48" s="75"/>
      <c r="HL48" s="75"/>
      <c r="HM48" s="75"/>
      <c r="HN48" s="75"/>
      <c r="HO48" s="75"/>
      <c r="HP48" s="75"/>
      <c r="HQ48" s="75"/>
      <c r="HR48" s="75"/>
      <c r="HS48" s="75"/>
      <c r="HT48" s="75"/>
      <c r="HU48" s="75"/>
      <c r="HV48" s="75"/>
      <c r="HW48" s="75"/>
      <c r="HX48" s="75"/>
      <c r="HY48" s="75"/>
      <c r="HZ48" s="75"/>
      <c r="IA48" s="75"/>
      <c r="IB48" s="75"/>
      <c r="IC48" s="75"/>
      <c r="ID48" s="75"/>
      <c r="IE48" s="75"/>
      <c r="IF48" s="75"/>
      <c r="IG48" s="75"/>
      <c r="IH48" s="75"/>
      <c r="II48" s="75"/>
      <c r="IJ48" s="75"/>
      <c r="IK48" s="75"/>
      <c r="IL48" s="75"/>
      <c r="IM48" s="75"/>
      <c r="IN48" s="75"/>
      <c r="IO48" s="75"/>
      <c r="IP48" s="75"/>
      <c r="IQ48" s="75"/>
      <c r="IR48" s="75"/>
      <c r="IS48" s="75"/>
      <c r="IT48" s="75"/>
      <c r="IU48" s="75"/>
      <c r="IV48" s="75"/>
      <c r="IW48" s="75"/>
      <c r="IX48" s="75"/>
      <c r="IY48" s="75"/>
      <c r="IZ48" s="75"/>
      <c r="JA48" s="75"/>
      <c r="JB48" s="75"/>
      <c r="JC48" s="75"/>
      <c r="JD48" s="75"/>
      <c r="JE48" s="75"/>
      <c r="JF48" s="75"/>
      <c r="JG48" s="75"/>
      <c r="JH48" s="75"/>
      <c r="JI48" s="75"/>
      <c r="JJ48" s="75"/>
      <c r="JK48" s="75"/>
      <c r="JL48" s="75"/>
      <c r="JM48" s="75"/>
      <c r="JN48" s="75"/>
      <c r="JO48" s="75"/>
      <c r="JP48" s="75"/>
      <c r="JQ48" s="75"/>
      <c r="JR48" s="75"/>
      <c r="JS48" s="75"/>
      <c r="JT48" s="75"/>
      <c r="JU48" s="75"/>
      <c r="JV48" s="75"/>
      <c r="JW48" s="75"/>
      <c r="JX48" s="75"/>
      <c r="JY48" s="75"/>
      <c r="JZ48" s="75"/>
      <c r="KA48" s="75"/>
      <c r="KB48" s="75"/>
      <c r="KC48" s="75"/>
      <c r="KD48" s="75"/>
      <c r="KE48" s="75"/>
      <c r="KF48" s="75"/>
      <c r="KG48" s="75"/>
      <c r="KH48" s="75"/>
      <c r="KI48" s="75"/>
      <c r="KJ48" s="75"/>
      <c r="KK48" s="75"/>
    </row>
    <row r="49" spans="1:19" ht="30" customHeight="1" x14ac:dyDescent="0.25">
      <c r="A49" s="80" t="s">
        <v>271</v>
      </c>
      <c r="B49" s="40" t="s">
        <v>272</v>
      </c>
      <c r="C49" s="41">
        <v>10</v>
      </c>
      <c r="D49" s="4" t="str">
        <f>_xlfn.XLOOKUP(C49,[1]Sheet2!$A$2:$A$11,[1]Sheet2!$B$2:$B$11,"Not found")</f>
        <v>Suggested Learning</v>
      </c>
      <c r="E49" s="41"/>
      <c r="F49" s="13" t="str">
        <f>_xlfn.XLOOKUP(B49,'Holiday Inn Express'!B:B,'Holiday Inn Express'!F:F,"",0,1)</f>
        <v/>
      </c>
      <c r="G49" s="44"/>
      <c r="H49" s="44"/>
      <c r="I49" s="44"/>
      <c r="J49" s="44"/>
      <c r="K49" s="44"/>
      <c r="L49" s="44" t="s">
        <v>170</v>
      </c>
      <c r="M49" s="44"/>
      <c r="N49" s="44"/>
      <c r="O49" s="44"/>
      <c r="P49" s="44" t="s">
        <v>170</v>
      </c>
      <c r="Q49" s="44"/>
      <c r="R49" s="44"/>
      <c r="S49" s="44"/>
    </row>
  </sheetData>
  <autoFilter ref="A1:S2" xr:uid="{8905F5FD-E566-40E4-B0CF-9C3FAA343E57}">
    <filterColumn colId="0" showButton="0"/>
    <filterColumn colId="1" showButton="0"/>
    <sortState xmlns:xlrd2="http://schemas.microsoft.com/office/spreadsheetml/2017/richdata2" ref="A2:S2">
      <sortCondition ref="I1:I2"/>
    </sortState>
  </autoFilter>
  <hyperlinks>
    <hyperlink ref="B2" r:id="rId1" display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xr:uid="{D5FE8F19-0AFD-425A-9BEE-BE9C6B108DCA}"/>
    <hyperlink ref="B12" r:id="rId2" display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xr:uid="{C379B2B8-A085-49EB-A49E-AC58545D4F1A}"/>
    <hyperlink ref="B32" r:id="rId3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35F27FCD-C3DE-4F81-8890-7E94AE88B34F}"/>
    <hyperlink ref="B13" r:id="rId4" xr:uid="{F7D5C81F-AA2A-46C8-958C-6045E5B2B1FB}"/>
    <hyperlink ref="B15" r:id="rId5" xr:uid="{92F263D7-746F-41D6-954E-0E2990D22D6C}"/>
    <hyperlink ref="B16" r:id="rId6" xr:uid="{C35116EC-3E16-4DFA-AA40-4D5068E9EE71}"/>
    <hyperlink ref="B17" r:id="rId7" xr:uid="{E7793790-C92F-4C86-9AA5-F5E0E25A3F93}"/>
    <hyperlink ref="B18" r:id="rId8" xr:uid="{29696178-542C-45DD-9BE4-0986D5C824C0}"/>
    <hyperlink ref="B19" r:id="rId9" xr:uid="{707E4705-16A2-48C4-99B5-F6F5AAA95B37}"/>
    <hyperlink ref="B28" r:id="rId10" xr:uid="{486ACF0D-AD3B-422C-8243-853A094B295E}"/>
    <hyperlink ref="B27" r:id="rId11" xr:uid="{9556D9DB-F61E-493A-8601-0EDF921B5C1C}"/>
    <hyperlink ref="B26" r:id="rId12" xr:uid="{4CDC4889-CB5D-41C7-A5DF-5821C23A4654}"/>
    <hyperlink ref="B25" r:id="rId13" xr:uid="{5940FC75-2A03-4265-8780-898C6CD6E29B}"/>
    <hyperlink ref="B24" r:id="rId14" xr:uid="{160592B4-1B0A-481F-9583-FC25EC4B769B}"/>
    <hyperlink ref="B23" r:id="rId15" xr:uid="{E4BD6487-FB46-4812-BB0B-94F17DB3176E}"/>
    <hyperlink ref="B22" r:id="rId16" xr:uid="{48FFB101-E416-4697-9431-7C04B9B57720}"/>
    <hyperlink ref="B29" r:id="rId17" xr:uid="{48DF8AFE-26EB-4939-A87E-CE6F43533502}"/>
    <hyperlink ref="B31" r:id="rId18" xr:uid="{A18C5941-668E-448D-9CB4-E889674B1C49}"/>
    <hyperlink ref="B33" r:id="rId19" xr:uid="{B1ED5D6A-BA61-4A17-AA97-520ED8A20527}"/>
    <hyperlink ref="B34" r:id="rId20" xr:uid="{4E444E87-5A88-4F84-8DDC-B86792A9F9F6}"/>
    <hyperlink ref="B14" r:id="rId21" xr:uid="{E767503A-D4C7-4C69-BC28-AA21AC183587}"/>
    <hyperlink ref="B39" r:id="rId22" xr:uid="{E8903586-42C7-47AF-98DD-9434AC4F892D}"/>
    <hyperlink ref="B35" r:id="rId23" xr:uid="{DF4FDED9-7B8F-427D-9DA7-030C0B9F4477}"/>
    <hyperlink ref="B36" r:id="rId24" xr:uid="{0DF4DC4A-7B87-4E48-BF25-9E9CEA452008}"/>
    <hyperlink ref="B37" r:id="rId25" xr:uid="{6824669B-FB43-48AD-B6CC-BE2A0D53945B}"/>
    <hyperlink ref="B43" r:id="rId26" xr:uid="{A0A8CBA8-51A8-41D5-9410-68A45C0AB028}"/>
    <hyperlink ref="B44" r:id="rId27" xr:uid="{C12429E4-9513-417A-85CD-C318FBE18AAF}"/>
    <hyperlink ref="B45" r:id="rId28" xr:uid="{14A03193-059F-4663-ACEC-993B73CA97B3}"/>
    <hyperlink ref="B46" r:id="rId29" xr:uid="{BF9F1FE4-410F-47CB-A73A-0708D5A09B65}"/>
    <hyperlink ref="B47" r:id="rId30" xr:uid="{FD674FC2-4D6C-4F8A-BCF6-BC5AEA1C519E}"/>
    <hyperlink ref="B48" r:id="rId31" xr:uid="{6779B019-1816-41E6-8E0A-56C3A602C179}"/>
    <hyperlink ref="B20" r:id="rId32" xr:uid="{64D8C525-6AE7-458C-8CA8-1D4AFC8D0C65}"/>
    <hyperlink ref="B21" r:id="rId33" xr:uid="{C6220A07-69EE-4996-860F-A625DC6884BB}"/>
    <hyperlink ref="B40" r:id="rId34" xr:uid="{7F9E423F-108A-44D9-BE1C-B9D51C75ABF7}"/>
    <hyperlink ref="B41" r:id="rId35" xr:uid="{C8A70DEE-623D-4198-ACE9-38012472E305}"/>
    <hyperlink ref="B49" r:id="rId36" xr:uid="{9B7EAC90-8A80-4352-8EC8-502C785969BA}"/>
    <hyperlink ref="B11" r:id="rId37" xr:uid="{1097AE48-6E20-47D1-B1EA-9998ED10F63D}"/>
    <hyperlink ref="B30" r:id="rId38" xr:uid="{076BF22C-CD10-414B-815E-DBD2C156D0C6}"/>
    <hyperlink ref="B3" r:id="rId39" xr:uid="{BD7200C3-C5F2-4BD6-B85F-BB2115045FA8}"/>
    <hyperlink ref="B4" r:id="rId40" display="https://mylearning.sumtotal.host/rcore/c/pillarRedirect?isDeepLink=1&amp;relyingParty=LM&amp;url=https%3A%2F%2Fmylearning.sumtotal.host%2Flearning%2Fcore%2Factivitydetails%2FViewActivityDetails%3FUserMode%3D0%26ActivityId%3D10703%26ClassUnderStruct%3DFalse%26CallerUrl%3D%2Flearning%2Flearner%2FHome%2FGoToPortal%3Fkey%3D0%26SearchCallerURL%3Dhttps%253A%252F%252Fmylearning.sumtotal.host%252Fcore%252FsearchRedirect%253FViewType%253DList%2526SearchText%253Dintercontinental%2526startRow%253D0%26SearchCallerID%3D2" xr:uid="{DEB0F9F1-FE21-4B59-96FD-A9F9712E7F9A}"/>
    <hyperlink ref="B10" r:id="rId41" display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xr:uid="{E898FD76-FAFA-4994-8001-B8F32A717911}"/>
    <hyperlink ref="B9" r:id="rId42" display="Hotel Experience Champion Guide" xr:uid="{C791B29F-507C-4AB4-B431-930B828B6661}"/>
    <hyperlink ref="B5" r:id="rId43" display="Managed Hotel - Leaders Guide" xr:uid="{58487460-0CA1-438B-B2CE-5601CE302093}"/>
    <hyperlink ref="B6" r:id="rId44" xr:uid="{828A714F-C2DA-4C1C-8E46-44919F2AD6C5}"/>
    <hyperlink ref="B7" r:id="rId45" xr:uid="{8B9CFAF8-32FE-445F-BB46-CFA7D0B0D753}"/>
    <hyperlink ref="B8" r:id="rId46" xr:uid="{52031E38-5E42-4646-89EA-9D7385AB2209}"/>
    <hyperlink ref="B38" r:id="rId47" display="IHG53503" xr:uid="{EAB49EDD-D36A-439A-A9C8-E4948EA48BD8}"/>
    <hyperlink ref="B42" r:id="rId48" xr:uid="{B1E3EBF7-D30D-42CF-8911-D6F43E65E6DE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CED5-E835-4B62-B827-1A12D13A689B}">
  <sheetPr>
    <tabColor rgb="FFD6E3DC"/>
  </sheetPr>
  <dimension ref="A1:X46"/>
  <sheetViews>
    <sheetView topLeftCell="B1" zoomScale="85" zoomScaleNormal="85" workbookViewId="0">
      <pane ySplit="1" topLeftCell="A2" activePane="bottomLeft" state="frozen"/>
      <selection activeCell="B1" sqref="B1:B1048576"/>
      <selection pane="bottomLeft" activeCell="B1" sqref="B1:B1048576"/>
    </sheetView>
  </sheetViews>
  <sheetFormatPr defaultRowHeight="30" customHeight="1" x14ac:dyDescent="0.2"/>
  <cols>
    <col min="1" max="1" width="48.7109375" style="37" customWidth="1"/>
    <col min="2" max="2" width="16.7109375" style="74" customWidth="1"/>
    <col min="3" max="5" width="22.7109375" style="9" customWidth="1"/>
    <col min="6" max="6" width="31.7109375" style="78" customWidth="1"/>
    <col min="7" max="19" width="19.5703125" style="28" customWidth="1"/>
    <col min="20" max="24" width="9.140625" style="28"/>
    <col min="25" max="16384" width="9.140625" style="10"/>
  </cols>
  <sheetData>
    <row r="1" spans="1:19" ht="30" customHeight="1" x14ac:dyDescent="0.2">
      <c r="A1" s="33" t="s">
        <v>43</v>
      </c>
      <c r="B1" s="13" t="s">
        <v>50</v>
      </c>
      <c r="C1" s="4" t="s">
        <v>182</v>
      </c>
      <c r="D1" s="4" t="s">
        <v>183</v>
      </c>
      <c r="E1" s="4" t="s">
        <v>184</v>
      </c>
      <c r="F1" s="13" t="s">
        <v>51</v>
      </c>
      <c r="G1" s="13" t="s">
        <v>52</v>
      </c>
      <c r="H1" s="13" t="s">
        <v>53</v>
      </c>
      <c r="I1" s="13" t="s">
        <v>54</v>
      </c>
      <c r="J1" s="13" t="s">
        <v>55</v>
      </c>
      <c r="K1" s="13" t="s">
        <v>56</v>
      </c>
      <c r="L1" s="13" t="s">
        <v>57</v>
      </c>
      <c r="M1" s="13" t="s">
        <v>58</v>
      </c>
      <c r="N1" s="13" t="s">
        <v>59</v>
      </c>
      <c r="O1" s="13" t="s">
        <v>60</v>
      </c>
      <c r="P1" s="13" t="s">
        <v>61</v>
      </c>
      <c r="Q1" s="13" t="s">
        <v>62</v>
      </c>
      <c r="R1" s="13" t="s">
        <v>63</v>
      </c>
      <c r="S1" s="13" t="s">
        <v>64</v>
      </c>
    </row>
    <row r="2" spans="1:19" ht="30" customHeight="1" x14ac:dyDescent="0.2">
      <c r="A2" s="30" t="s">
        <v>65</v>
      </c>
      <c r="B2" s="12" t="s">
        <v>66</v>
      </c>
      <c r="C2" s="4">
        <f>_xlfn.XLOOKUP(B2,Lookups!G:G,Lookups!H:H,"",0,1)</f>
        <v>3</v>
      </c>
      <c r="D2" s="4" t="str">
        <f>_xlfn.XLOOKUP(C2,[1]Sheet2!$A$2:$A$11,[1]Sheet2!$B$2:$B$11,"Not found")</f>
        <v>within 30 days</v>
      </c>
      <c r="E2" s="4"/>
      <c r="F2" s="13" t="str">
        <f>_xlfn.XLOOKUP(B2,'Holiday Inn Express'!B:B,'Holiday Inn Express'!F:F,"",0,1)</f>
        <v xml:space="preserve">Self-paced Online Learning (1 Hour 15 Minutes). Hotel-led in-person training (On-Job-Training, OJT) is permitted &amp; completions must be tracked in myLearning. </v>
      </c>
      <c r="G2" s="13" t="s">
        <v>170</v>
      </c>
      <c r="H2" s="13" t="s">
        <v>170</v>
      </c>
      <c r="I2" s="13" t="s">
        <v>170</v>
      </c>
      <c r="J2" s="13" t="s">
        <v>170</v>
      </c>
      <c r="K2" s="13" t="s">
        <v>170</v>
      </c>
      <c r="L2" s="13" t="s">
        <v>170</v>
      </c>
      <c r="M2" s="13" t="s">
        <v>170</v>
      </c>
      <c r="N2" s="13" t="s">
        <v>170</v>
      </c>
      <c r="O2" s="13" t="s">
        <v>170</v>
      </c>
      <c r="P2" s="13" t="s">
        <v>170</v>
      </c>
      <c r="Q2" s="13" t="s">
        <v>170</v>
      </c>
      <c r="R2" s="13" t="s">
        <v>170</v>
      </c>
      <c r="S2" s="13" t="s">
        <v>170</v>
      </c>
    </row>
    <row r="3" spans="1:19" ht="30" customHeight="1" x14ac:dyDescent="0.2">
      <c r="A3" s="33" t="s">
        <v>159</v>
      </c>
      <c r="B3" s="12" t="s">
        <v>160</v>
      </c>
      <c r="C3" s="4">
        <f>_xlfn.XLOOKUP(B3,Lookups!G:G,Lookups!H:H,"",0,1)</f>
        <v>3</v>
      </c>
      <c r="D3" s="4" t="str">
        <f>_xlfn.XLOOKUP(C3,[1]Sheet2!$A$2:$A$11,[1]Sheet2!$B$2:$B$11,"Not found")</f>
        <v>within 30 days</v>
      </c>
      <c r="E3" s="4"/>
      <c r="F3" s="13" t="s">
        <v>310</v>
      </c>
      <c r="G3" s="13" t="s">
        <v>170</v>
      </c>
      <c r="H3" s="13" t="s">
        <v>170</v>
      </c>
      <c r="I3" s="13" t="s">
        <v>170</v>
      </c>
      <c r="J3" s="13" t="s">
        <v>170</v>
      </c>
      <c r="K3" s="13" t="s">
        <v>170</v>
      </c>
      <c r="L3" s="13" t="s">
        <v>170</v>
      </c>
      <c r="M3" s="13" t="s">
        <v>170</v>
      </c>
      <c r="N3" s="13" t="s">
        <v>170</v>
      </c>
      <c r="O3" s="13" t="s">
        <v>170</v>
      </c>
      <c r="P3" s="13" t="s">
        <v>170</v>
      </c>
      <c r="Q3" s="13" t="s">
        <v>170</v>
      </c>
      <c r="R3" s="13" t="s">
        <v>170</v>
      </c>
      <c r="S3" s="13" t="s">
        <v>170</v>
      </c>
    </row>
    <row r="4" spans="1:19" ht="30" customHeight="1" x14ac:dyDescent="0.2">
      <c r="A4" s="33" t="s">
        <v>292</v>
      </c>
      <c r="B4" s="16" t="s">
        <v>286</v>
      </c>
      <c r="C4" s="4">
        <f>_xlfn.XLOOKUP(B4,Lookups!G:G,Lookups!H:H,"",0,1)</f>
        <v>3</v>
      </c>
      <c r="D4" s="4" t="str">
        <f>_xlfn.XLOOKUP(C4,[1]Sheet2!$A$2:$A$11,[1]Sheet2!$B$2:$B$11,"Not found")</f>
        <v>within 30 days</v>
      </c>
      <c r="E4" s="4"/>
      <c r="F4" s="13" t="s">
        <v>290</v>
      </c>
      <c r="G4" s="13" t="s">
        <v>170</v>
      </c>
      <c r="H4" s="13" t="s">
        <v>170</v>
      </c>
      <c r="I4" s="13" t="s">
        <v>170</v>
      </c>
      <c r="J4" s="13" t="s">
        <v>170</v>
      </c>
      <c r="K4" s="13" t="s">
        <v>170</v>
      </c>
      <c r="L4" s="13" t="s">
        <v>170</v>
      </c>
      <c r="M4" s="13" t="s">
        <v>170</v>
      </c>
      <c r="N4" s="13"/>
      <c r="O4" s="13"/>
      <c r="P4" s="13"/>
      <c r="Q4" s="13"/>
      <c r="R4" s="13" t="s">
        <v>170</v>
      </c>
      <c r="S4" s="13"/>
    </row>
    <row r="5" spans="1:19" ht="30" customHeight="1" x14ac:dyDescent="0.2">
      <c r="A5" s="33" t="s">
        <v>292</v>
      </c>
      <c r="B5" s="16" t="s">
        <v>287</v>
      </c>
      <c r="C5" s="4">
        <f>_xlfn.XLOOKUP(B5,Lookups!G:G,Lookups!H:H,"",0,1)</f>
        <v>3</v>
      </c>
      <c r="D5" s="4" t="str">
        <f>_xlfn.XLOOKUP(C5,[1]Sheet2!$A$2:$A$11,[1]Sheet2!$B$2:$B$11,"Not found")</f>
        <v>within 30 days</v>
      </c>
      <c r="E5" s="4"/>
      <c r="F5" s="13" t="s">
        <v>290</v>
      </c>
      <c r="G5" s="13"/>
      <c r="H5" s="13"/>
      <c r="I5" s="13"/>
      <c r="J5" s="13"/>
      <c r="K5" s="13"/>
      <c r="L5" s="13"/>
      <c r="M5" s="13"/>
      <c r="N5" s="13" t="s">
        <v>170</v>
      </c>
      <c r="O5" s="13" t="s">
        <v>170</v>
      </c>
      <c r="P5" s="13" t="s">
        <v>170</v>
      </c>
      <c r="Q5" s="13" t="s">
        <v>170</v>
      </c>
      <c r="R5" s="13"/>
      <c r="S5" s="13" t="s">
        <v>170</v>
      </c>
    </row>
    <row r="6" spans="1:19" ht="30" customHeight="1" x14ac:dyDescent="0.2">
      <c r="A6" s="33" t="s">
        <v>293</v>
      </c>
      <c r="B6" s="16" t="s">
        <v>288</v>
      </c>
      <c r="C6" s="4">
        <f>_xlfn.XLOOKUP(B6,Lookups!G:G,Lookups!H:H,"",0,1)</f>
        <v>3</v>
      </c>
      <c r="D6" s="4" t="str">
        <f>_xlfn.XLOOKUP(C6,[1]Sheet2!$A$2:$A$11,[1]Sheet2!$B$2:$B$11,"Not found")</f>
        <v>within 30 days</v>
      </c>
      <c r="E6" s="4"/>
      <c r="F6" s="13" t="s">
        <v>291</v>
      </c>
      <c r="G6" s="13" t="s">
        <v>170</v>
      </c>
      <c r="H6" s="13" t="s">
        <v>170</v>
      </c>
      <c r="I6" s="13" t="s">
        <v>170</v>
      </c>
      <c r="J6" s="13" t="s">
        <v>170</v>
      </c>
      <c r="K6" s="13" t="s">
        <v>170</v>
      </c>
      <c r="L6" s="13" t="s">
        <v>170</v>
      </c>
      <c r="M6" s="13" t="s">
        <v>170</v>
      </c>
      <c r="N6" s="13"/>
      <c r="O6" s="13"/>
      <c r="P6" s="13"/>
      <c r="Q6" s="13"/>
      <c r="R6" s="13" t="s">
        <v>170</v>
      </c>
      <c r="S6" s="13"/>
    </row>
    <row r="7" spans="1:19" ht="30" customHeight="1" x14ac:dyDescent="0.2">
      <c r="A7" s="33" t="s">
        <v>293</v>
      </c>
      <c r="B7" s="16" t="s">
        <v>289</v>
      </c>
      <c r="C7" s="4">
        <f>_xlfn.XLOOKUP(B7,Lookups!G:G,Lookups!H:H,"",0,1)</f>
        <v>3</v>
      </c>
      <c r="D7" s="4" t="str">
        <f>_xlfn.XLOOKUP(C7,[1]Sheet2!$A$2:$A$11,[1]Sheet2!$B$2:$B$11,"Not found")</f>
        <v>within 30 days</v>
      </c>
      <c r="E7" s="4"/>
      <c r="F7" s="13" t="s">
        <v>291</v>
      </c>
      <c r="G7" s="13"/>
      <c r="H7" s="13"/>
      <c r="I7" s="13"/>
      <c r="J7" s="13"/>
      <c r="K7" s="13"/>
      <c r="L7" s="13"/>
      <c r="M7" s="13"/>
      <c r="N7" s="13" t="s">
        <v>170</v>
      </c>
      <c r="O7" s="13" t="s">
        <v>170</v>
      </c>
      <c r="P7" s="13" t="s">
        <v>170</v>
      </c>
      <c r="Q7" s="13" t="s">
        <v>170</v>
      </c>
      <c r="R7" s="13"/>
      <c r="S7" s="13" t="s">
        <v>170</v>
      </c>
    </row>
    <row r="8" spans="1:19" ht="30" customHeight="1" x14ac:dyDescent="0.2">
      <c r="A8" s="33" t="s">
        <v>69</v>
      </c>
      <c r="B8" s="16" t="s">
        <v>285</v>
      </c>
      <c r="C8" s="4">
        <v>3</v>
      </c>
      <c r="D8" s="4" t="str">
        <f>_xlfn.XLOOKUP(C8,[1]Sheet2!$A$2:$A$11,[1]Sheet2!$B$2:$B$11,"Not found")</f>
        <v>within 30 days</v>
      </c>
      <c r="E8" s="4"/>
      <c r="F8" s="4" t="s">
        <v>284</v>
      </c>
      <c r="G8" s="13" t="s">
        <v>170</v>
      </c>
      <c r="H8" s="13" t="s">
        <v>169</v>
      </c>
      <c r="I8" s="13" t="s">
        <v>169</v>
      </c>
      <c r="J8" s="13" t="s">
        <v>169</v>
      </c>
      <c r="K8" s="13" t="s">
        <v>169</v>
      </c>
      <c r="L8" s="13" t="s">
        <v>169</v>
      </c>
      <c r="M8" s="13" t="s">
        <v>169</v>
      </c>
      <c r="N8" s="13" t="s">
        <v>169</v>
      </c>
      <c r="O8" s="13" t="s">
        <v>169</v>
      </c>
      <c r="P8" s="13" t="s">
        <v>169</v>
      </c>
      <c r="Q8" s="13" t="s">
        <v>169</v>
      </c>
      <c r="R8" s="13" t="s">
        <v>169</v>
      </c>
      <c r="S8" s="13" t="s">
        <v>169</v>
      </c>
    </row>
    <row r="9" spans="1:19" ht="30" customHeight="1" x14ac:dyDescent="0.2">
      <c r="A9" s="33" t="s">
        <v>70</v>
      </c>
      <c r="B9" s="12" t="s">
        <v>71</v>
      </c>
      <c r="C9" s="4">
        <f>_xlfn.XLOOKUP(B9,Lookups!G:G,Lookups!H:H,"",0,1)</f>
        <v>4</v>
      </c>
      <c r="D9" s="4" t="str">
        <f>_xlfn.XLOOKUP(C9,[1]Sheet2!$A$2:$A$11,[1]Sheet2!$B$2:$B$11,"Not found")</f>
        <v>within 60 days</v>
      </c>
      <c r="E9" s="4"/>
      <c r="F9" s="13" t="str">
        <f>_xlfn.XLOOKUP(B9,'Holiday Inn Express'!B:B,'Holiday Inn Express'!F:F,"",0,1)</f>
        <v>Self-paced Online Learning (1 Hour 45 Minutes).</v>
      </c>
      <c r="G9" s="13" t="s">
        <v>170</v>
      </c>
      <c r="H9" s="13" t="s">
        <v>170</v>
      </c>
      <c r="I9" s="13" t="s">
        <v>170</v>
      </c>
      <c r="J9" s="13" t="s">
        <v>170</v>
      </c>
      <c r="K9" s="13" t="s">
        <v>170</v>
      </c>
      <c r="L9" s="13" t="s">
        <v>170</v>
      </c>
      <c r="M9" s="13" t="s">
        <v>170</v>
      </c>
      <c r="N9" s="13" t="s">
        <v>169</v>
      </c>
      <c r="O9" s="13" t="s">
        <v>169</v>
      </c>
      <c r="P9" s="13" t="s">
        <v>169</v>
      </c>
      <c r="Q9" s="13" t="s">
        <v>169</v>
      </c>
      <c r="R9" s="13" t="s">
        <v>170</v>
      </c>
      <c r="S9" s="13" t="s">
        <v>169</v>
      </c>
    </row>
    <row r="10" spans="1:19" ht="30" customHeight="1" x14ac:dyDescent="0.2">
      <c r="A10" s="33" t="s">
        <v>274</v>
      </c>
      <c r="B10" s="3" t="s">
        <v>274</v>
      </c>
      <c r="C10" s="4">
        <v>10</v>
      </c>
      <c r="D10" s="4" t="str">
        <f>_xlfn.XLOOKUP(C10,[1]Sheet2!$A$2:$A$11,[1]Sheet2!$B$2:$B$11,"Not found")</f>
        <v>Suggested Learning</v>
      </c>
      <c r="E10" s="4"/>
      <c r="F10" s="13" t="str">
        <f>_xlfn.XLOOKUP(B10,'Holiday Inn Express'!B:B,'Holiday Inn Express'!F:F,"",0,1)</f>
        <v>Explore resource and apply accordingly</v>
      </c>
      <c r="G10" s="13" t="s">
        <v>170</v>
      </c>
      <c r="H10" s="13" t="s">
        <v>170</v>
      </c>
      <c r="I10" s="13" t="s">
        <v>170</v>
      </c>
      <c r="J10" s="13" t="s">
        <v>170</v>
      </c>
      <c r="K10" s="13" t="s">
        <v>170</v>
      </c>
      <c r="L10" s="13" t="s">
        <v>170</v>
      </c>
      <c r="M10" s="13" t="s">
        <v>170</v>
      </c>
      <c r="N10" s="13" t="s">
        <v>169</v>
      </c>
      <c r="O10" s="13" t="s">
        <v>169</v>
      </c>
      <c r="P10" s="13" t="s">
        <v>169</v>
      </c>
      <c r="Q10" s="13" t="s">
        <v>169</v>
      </c>
      <c r="R10" s="13" t="s">
        <v>170</v>
      </c>
      <c r="S10" s="13" t="s">
        <v>169</v>
      </c>
    </row>
    <row r="11" spans="1:19" ht="30" customHeight="1" x14ac:dyDescent="0.2">
      <c r="A11" s="33" t="s">
        <v>168</v>
      </c>
      <c r="B11" s="12" t="s">
        <v>72</v>
      </c>
      <c r="C11" s="4">
        <f>_xlfn.XLOOKUP(B11,Lookups!G:G,Lookups!H:H,"",0,1)</f>
        <v>3</v>
      </c>
      <c r="D11" s="4" t="str">
        <f>_xlfn.XLOOKUP(C11,[1]Sheet2!$A$2:$A$11,[1]Sheet2!$B$2:$B$11,"Not found")</f>
        <v>within 30 days</v>
      </c>
      <c r="E11" s="4"/>
      <c r="F11" s="13" t="str">
        <f>_xlfn.XLOOKUP(B11,'Holiday Inn Express'!B:B,'Holiday Inn Express'!F:F,"",0,1)</f>
        <v xml:space="preserve">Self-paced Online Learning (1 Hour). Hotel-led in-person training (On-Job-Training, OJT) is permitted &amp; completions must be tracked in myLearning. </v>
      </c>
      <c r="G11" s="13" t="s">
        <v>170</v>
      </c>
      <c r="H11" s="13" t="s">
        <v>170</v>
      </c>
      <c r="I11" s="13" t="s">
        <v>170</v>
      </c>
      <c r="J11" s="13" t="s">
        <v>170</v>
      </c>
      <c r="K11" s="13" t="s">
        <v>170</v>
      </c>
      <c r="L11" s="13" t="s">
        <v>170</v>
      </c>
      <c r="M11" s="13" t="s">
        <v>170</v>
      </c>
      <c r="N11" s="13" t="s">
        <v>170</v>
      </c>
      <c r="O11" s="13" t="s">
        <v>170</v>
      </c>
      <c r="P11" s="13" t="s">
        <v>170</v>
      </c>
      <c r="Q11" s="13" t="s">
        <v>170</v>
      </c>
      <c r="R11" s="13" t="s">
        <v>170</v>
      </c>
      <c r="S11" s="13" t="s">
        <v>170</v>
      </c>
    </row>
    <row r="12" spans="1:19" ht="30" customHeight="1" x14ac:dyDescent="0.2">
      <c r="A12" s="33" t="s">
        <v>73</v>
      </c>
      <c r="B12" s="14" t="s">
        <v>74</v>
      </c>
      <c r="C12" s="4">
        <f>_xlfn.XLOOKUP(B12,Lookups!G:G,Lookups!H:H,"",0,1)</f>
        <v>3</v>
      </c>
      <c r="D12" s="4" t="str">
        <f>_xlfn.XLOOKUP(C12,[1]Sheet2!$A$2:$A$11,[1]Sheet2!$B$2:$B$11,"Not found")</f>
        <v>within 30 days</v>
      </c>
      <c r="E12" s="4"/>
      <c r="F12" s="13" t="str">
        <f>_xlfn.XLOOKUP(B12,'Holiday Inn Express'!B:B,'Holiday Inn Express'!F:F,"",0,1)</f>
        <v>Self-paced Online Learning (20 Minutes).</v>
      </c>
      <c r="G12" s="13" t="s">
        <v>170</v>
      </c>
      <c r="H12" s="13" t="s">
        <v>170</v>
      </c>
      <c r="I12" s="13" t="s">
        <v>170</v>
      </c>
      <c r="J12" s="13" t="s">
        <v>170</v>
      </c>
      <c r="K12" s="13" t="s">
        <v>170</v>
      </c>
      <c r="L12" s="13" t="s">
        <v>170</v>
      </c>
      <c r="M12" s="13" t="s">
        <v>170</v>
      </c>
      <c r="N12" s="13" t="s">
        <v>170</v>
      </c>
      <c r="O12" s="13" t="s">
        <v>170</v>
      </c>
      <c r="P12" s="13" t="s">
        <v>170</v>
      </c>
      <c r="Q12" s="13" t="s">
        <v>170</v>
      </c>
      <c r="R12" s="13" t="s">
        <v>170</v>
      </c>
      <c r="S12" s="13" t="s">
        <v>170</v>
      </c>
    </row>
    <row r="13" spans="1:19" ht="30" customHeight="1" x14ac:dyDescent="0.2">
      <c r="A13" s="33" t="s">
        <v>75</v>
      </c>
      <c r="B13" s="14" t="s">
        <v>76</v>
      </c>
      <c r="C13" s="4">
        <f>_xlfn.XLOOKUP(B13,Lookups!G:G,Lookups!H:H,"",0,1)</f>
        <v>3</v>
      </c>
      <c r="D13" s="4" t="str">
        <f>_xlfn.XLOOKUP(C13,[1]Sheet2!$A$2:$A$11,[1]Sheet2!$B$2:$B$11,"Not found")</f>
        <v>within 30 days</v>
      </c>
      <c r="E13" s="4"/>
      <c r="F13" s="13" t="str">
        <f>_xlfn.XLOOKUP(B13,'Holiday Inn Express'!B:B,'Holiday Inn Express'!F:F,"",0,1)</f>
        <v>Self-paced Online Learning (20 Minutes).</v>
      </c>
      <c r="G13" s="13" t="s">
        <v>170</v>
      </c>
      <c r="H13" s="13" t="s">
        <v>170</v>
      </c>
      <c r="I13" s="13" t="s">
        <v>170</v>
      </c>
      <c r="J13" s="13" t="s">
        <v>170</v>
      </c>
      <c r="K13" s="13" t="s">
        <v>170</v>
      </c>
      <c r="L13" s="13" t="s">
        <v>170</v>
      </c>
      <c r="M13" s="13" t="s">
        <v>170</v>
      </c>
      <c r="N13" s="13" t="s">
        <v>169</v>
      </c>
      <c r="O13" s="13" t="s">
        <v>169</v>
      </c>
      <c r="P13" s="13" t="s">
        <v>169</v>
      </c>
      <c r="Q13" s="13" t="s">
        <v>169</v>
      </c>
      <c r="R13" s="13" t="s">
        <v>170</v>
      </c>
      <c r="S13" s="13" t="s">
        <v>169</v>
      </c>
    </row>
    <row r="14" spans="1:19" ht="30" customHeight="1" x14ac:dyDescent="0.2">
      <c r="A14" s="33" t="s">
        <v>77</v>
      </c>
      <c r="B14" s="14" t="s">
        <v>78</v>
      </c>
      <c r="C14" s="4">
        <f>_xlfn.XLOOKUP(B14,Lookups!G:G,Lookups!H:H,"",0,1)</f>
        <v>3</v>
      </c>
      <c r="D14" s="4" t="str">
        <f>_xlfn.XLOOKUP(C14,[1]Sheet2!$A$2:$A$11,[1]Sheet2!$B$2:$B$11,"Not found")</f>
        <v>within 30 days</v>
      </c>
      <c r="E14" s="4"/>
      <c r="F14" s="13" t="str">
        <f>_xlfn.XLOOKUP(B14,'Holiday Inn Express'!B:B,'Holiday Inn Express'!F:F,"",0,1)</f>
        <v>Self-paced Online Learning (20 Minutes).</v>
      </c>
      <c r="G14" s="13" t="s">
        <v>170</v>
      </c>
      <c r="H14" s="13" t="s">
        <v>170</v>
      </c>
      <c r="I14" s="13" t="s">
        <v>170</v>
      </c>
      <c r="J14" s="13" t="s">
        <v>170</v>
      </c>
      <c r="K14" s="13" t="s">
        <v>170</v>
      </c>
      <c r="L14" s="13" t="s">
        <v>170</v>
      </c>
      <c r="M14" s="13" t="s">
        <v>170</v>
      </c>
      <c r="N14" s="13" t="s">
        <v>170</v>
      </c>
      <c r="O14" s="13" t="s">
        <v>170</v>
      </c>
      <c r="P14" s="13" t="s">
        <v>170</v>
      </c>
      <c r="Q14" s="13" t="s">
        <v>170</v>
      </c>
      <c r="R14" s="13" t="s">
        <v>170</v>
      </c>
      <c r="S14" s="13" t="s">
        <v>170</v>
      </c>
    </row>
    <row r="15" spans="1:19" ht="30" customHeight="1" x14ac:dyDescent="0.2">
      <c r="A15" s="33" t="s">
        <v>79</v>
      </c>
      <c r="B15" s="14" t="s">
        <v>80</v>
      </c>
      <c r="C15" s="4">
        <f>_xlfn.XLOOKUP(B15,Lookups!G:G,Lookups!H:H,"",0,1)</f>
        <v>3</v>
      </c>
      <c r="D15" s="4" t="str">
        <f>_xlfn.XLOOKUP(C15,[1]Sheet2!$A$2:$A$11,[1]Sheet2!$B$2:$B$11,"Not found")</f>
        <v>within 30 days</v>
      </c>
      <c r="E15" s="4"/>
      <c r="F15" s="13" t="str">
        <f>_xlfn.XLOOKUP(B15,'Holiday Inn Express'!B:B,'Holiday Inn Express'!F:F,"",0,1)</f>
        <v>Self-paced Online Learning (15 Minutes).</v>
      </c>
      <c r="G15" s="13" t="s">
        <v>170</v>
      </c>
      <c r="H15" s="13" t="s">
        <v>170</v>
      </c>
      <c r="I15" s="13" t="s">
        <v>170</v>
      </c>
      <c r="J15" s="13" t="s">
        <v>170</v>
      </c>
      <c r="K15" s="13" t="s">
        <v>170</v>
      </c>
      <c r="L15" s="13" t="s">
        <v>170</v>
      </c>
      <c r="M15" s="13" t="s">
        <v>170</v>
      </c>
      <c r="N15" s="13" t="s">
        <v>170</v>
      </c>
      <c r="O15" s="13" t="s">
        <v>170</v>
      </c>
      <c r="P15" s="13" t="s">
        <v>170</v>
      </c>
      <c r="Q15" s="13" t="s">
        <v>170</v>
      </c>
      <c r="R15" s="13" t="s">
        <v>170</v>
      </c>
      <c r="S15" s="13" t="s">
        <v>170</v>
      </c>
    </row>
    <row r="16" spans="1:19" ht="30" customHeight="1" x14ac:dyDescent="0.2">
      <c r="A16" s="33" t="s">
        <v>81</v>
      </c>
      <c r="B16" s="14" t="s">
        <v>82</v>
      </c>
      <c r="C16" s="4">
        <f>_xlfn.XLOOKUP(B16,Lookups!G:G,Lookups!H:H,"",0,1)</f>
        <v>3</v>
      </c>
      <c r="D16" s="4" t="str">
        <f>_xlfn.XLOOKUP(C16,[1]Sheet2!$A$2:$A$11,[1]Sheet2!$B$2:$B$11,"Not found")</f>
        <v>within 30 days</v>
      </c>
      <c r="E16" s="4"/>
      <c r="F16" s="13" t="str">
        <f>_xlfn.XLOOKUP(B16,'Holiday Inn Express'!B:B,'Holiday Inn Express'!F:F,"",0,1)</f>
        <v>Self-paced Online Learning (20 Minutes).</v>
      </c>
      <c r="G16" s="13" t="s">
        <v>170</v>
      </c>
      <c r="H16" s="13" t="s">
        <v>170</v>
      </c>
      <c r="I16" s="13" t="s">
        <v>170</v>
      </c>
      <c r="J16" s="13" t="s">
        <v>170</v>
      </c>
      <c r="K16" s="13" t="s">
        <v>170</v>
      </c>
      <c r="L16" s="13" t="s">
        <v>170</v>
      </c>
      <c r="M16" s="13" t="s">
        <v>170</v>
      </c>
      <c r="N16" s="13" t="s">
        <v>170</v>
      </c>
      <c r="O16" s="13" t="s">
        <v>170</v>
      </c>
      <c r="P16" s="13" t="s">
        <v>170</v>
      </c>
      <c r="Q16" s="13" t="s">
        <v>170</v>
      </c>
      <c r="R16" s="13" t="s">
        <v>170</v>
      </c>
      <c r="S16" s="13" t="s">
        <v>170</v>
      </c>
    </row>
    <row r="17" spans="1:19" ht="30" customHeight="1" x14ac:dyDescent="0.2">
      <c r="A17" s="33" t="s">
        <v>83</v>
      </c>
      <c r="B17" s="14" t="s">
        <v>84</v>
      </c>
      <c r="C17" s="4">
        <f>_xlfn.XLOOKUP(B17,Lookups!G:G,Lookups!H:H,"",0,1)</f>
        <v>10</v>
      </c>
      <c r="D17" s="4" t="str">
        <f>_xlfn.XLOOKUP(C17,[1]Sheet2!$A$2:$A$11,[1]Sheet2!$B$2:$B$11,"Not found")</f>
        <v>Suggested Learning</v>
      </c>
      <c r="E17" s="4"/>
      <c r="F17" s="13" t="str">
        <f>_xlfn.XLOOKUP(B17,'Holiday Inn Express'!B:B,'Holiday Inn Express'!F:F,"",0,1)</f>
        <v>Self-paced Online Learning.</v>
      </c>
      <c r="G17" s="13" t="s">
        <v>170</v>
      </c>
      <c r="H17" s="13" t="s">
        <v>170</v>
      </c>
      <c r="I17" s="13" t="s">
        <v>170</v>
      </c>
      <c r="J17" s="13" t="s">
        <v>170</v>
      </c>
      <c r="K17" s="13" t="s">
        <v>170</v>
      </c>
      <c r="L17" s="13" t="s">
        <v>170</v>
      </c>
      <c r="M17" s="13" t="s">
        <v>170</v>
      </c>
      <c r="N17" s="13" t="s">
        <v>170</v>
      </c>
      <c r="O17" s="13" t="s">
        <v>169</v>
      </c>
      <c r="P17" s="13" t="s">
        <v>169</v>
      </c>
      <c r="Q17" s="13" t="s">
        <v>169</v>
      </c>
      <c r="R17" s="13" t="s">
        <v>170</v>
      </c>
      <c r="S17" s="13" t="s">
        <v>170</v>
      </c>
    </row>
    <row r="18" spans="1:19" ht="30" customHeight="1" x14ac:dyDescent="0.2">
      <c r="A18" s="33" t="s">
        <v>85</v>
      </c>
      <c r="B18" s="14" t="s">
        <v>86</v>
      </c>
      <c r="C18" s="4">
        <f>_xlfn.XLOOKUP(B18,Lookups!G:G,Lookups!H:H,"",0,1)</f>
        <v>10</v>
      </c>
      <c r="D18" s="4" t="str">
        <f>_xlfn.XLOOKUP(C18,[1]Sheet2!$A$2:$A$11,[1]Sheet2!$B$2:$B$11,"Not found")</f>
        <v>Suggested Learning</v>
      </c>
      <c r="E18" s="4"/>
      <c r="F18" s="13" t="str">
        <f>_xlfn.XLOOKUP(B18,'Holiday Inn Express'!B:B,'Holiday Inn Express'!F:F,"",0,1)</f>
        <v>Self-paced Online Learning.</v>
      </c>
      <c r="G18" s="13" t="s">
        <v>170</v>
      </c>
      <c r="H18" s="13" t="s">
        <v>169</v>
      </c>
      <c r="I18" s="13" t="s">
        <v>169</v>
      </c>
      <c r="J18" s="13" t="s">
        <v>170</v>
      </c>
      <c r="K18" s="13" t="s">
        <v>169</v>
      </c>
      <c r="L18" s="13" t="s">
        <v>169</v>
      </c>
      <c r="M18" s="13" t="s">
        <v>169</v>
      </c>
      <c r="N18" s="13" t="s">
        <v>170</v>
      </c>
      <c r="O18" s="13" t="s">
        <v>169</v>
      </c>
      <c r="P18" s="13" t="s">
        <v>169</v>
      </c>
      <c r="Q18" s="13" t="s">
        <v>169</v>
      </c>
      <c r="R18" s="13" t="s">
        <v>169</v>
      </c>
      <c r="S18" s="13" t="s">
        <v>169</v>
      </c>
    </row>
    <row r="19" spans="1:19" ht="30" customHeight="1" x14ac:dyDescent="0.2">
      <c r="A19" s="33" t="s">
        <v>87</v>
      </c>
      <c r="B19" s="15" t="s">
        <v>88</v>
      </c>
      <c r="C19" s="4">
        <f>_xlfn.XLOOKUP(B19,Lookups!G:G,Lookups!H:H,"",0,1)</f>
        <v>3</v>
      </c>
      <c r="D19" s="4" t="str">
        <f>_xlfn.XLOOKUP(C19,[1]Sheet2!$A$2:$A$11,[1]Sheet2!$B$2:$B$11,"Not found")</f>
        <v>within 30 days</v>
      </c>
      <c r="E19" s="4"/>
      <c r="F19" s="13" t="str">
        <f>_xlfn.XLOOKUP(B19,'Holiday Inn Express'!B:B,'Holiday Inn Express'!F:F,"",0,1)</f>
        <v xml:space="preserve">Hotel-led in-person training (On-Job-Training, OJT) is permitted &amp; completions must be tracked in myLearning. </v>
      </c>
      <c r="G19" s="13" t="s">
        <v>169</v>
      </c>
      <c r="H19" s="13" t="s">
        <v>169</v>
      </c>
      <c r="I19" s="13" t="s">
        <v>169</v>
      </c>
      <c r="J19" s="13" t="s">
        <v>169</v>
      </c>
      <c r="K19" s="13" t="s">
        <v>170</v>
      </c>
      <c r="L19" s="13" t="s">
        <v>169</v>
      </c>
      <c r="M19" s="13" t="s">
        <v>169</v>
      </c>
      <c r="N19" s="13" t="s">
        <v>169</v>
      </c>
      <c r="O19" s="13" t="s">
        <v>170</v>
      </c>
      <c r="P19" s="13" t="s">
        <v>170</v>
      </c>
      <c r="Q19" s="13" t="s">
        <v>169</v>
      </c>
      <c r="R19" s="13" t="s">
        <v>169</v>
      </c>
      <c r="S19" s="13" t="s">
        <v>169</v>
      </c>
    </row>
    <row r="20" spans="1:19" ht="30" customHeight="1" x14ac:dyDescent="0.2">
      <c r="A20" s="33" t="s">
        <v>89</v>
      </c>
      <c r="B20" s="16" t="s">
        <v>90</v>
      </c>
      <c r="C20" s="4">
        <f>_xlfn.XLOOKUP(B20,Lookups!G:G,Lookups!H:H,"",0,1)</f>
        <v>3</v>
      </c>
      <c r="D20" s="4" t="str">
        <f>_xlfn.XLOOKUP(C20,[1]Sheet2!$A$2:$A$11,[1]Sheet2!$B$2:$B$11,"Not found")</f>
        <v>within 30 days</v>
      </c>
      <c r="E20" s="4"/>
      <c r="F20" s="13" t="str">
        <f>_xlfn.XLOOKUP(B20,'Holiday Inn Express'!B:B,'Holiday Inn Express'!F:F,"",0,1)</f>
        <v xml:space="preserve">Self-paced Online Learning (20 Minutes). Hotel-led in-person training (On-Job-Training, OJT) is permitted &amp; completions must be tracked in myLearning. </v>
      </c>
      <c r="G20" s="13" t="s">
        <v>170</v>
      </c>
      <c r="H20" s="13" t="s">
        <v>170</v>
      </c>
      <c r="I20" s="13" t="s">
        <v>170</v>
      </c>
      <c r="J20" s="13" t="s">
        <v>170</v>
      </c>
      <c r="K20" s="13" t="s">
        <v>169</v>
      </c>
      <c r="L20" s="13" t="s">
        <v>170</v>
      </c>
      <c r="M20" s="13" t="s">
        <v>170</v>
      </c>
      <c r="N20" s="13" t="s">
        <v>170</v>
      </c>
      <c r="O20" s="13" t="s">
        <v>169</v>
      </c>
      <c r="P20" s="13" t="s">
        <v>169</v>
      </c>
      <c r="Q20" s="13" t="s">
        <v>170</v>
      </c>
      <c r="R20" s="13" t="s">
        <v>170</v>
      </c>
      <c r="S20" s="13" t="s">
        <v>170</v>
      </c>
    </row>
    <row r="21" spans="1:19" ht="30" customHeight="1" x14ac:dyDescent="0.2">
      <c r="A21" s="33" t="s">
        <v>91</v>
      </c>
      <c r="B21" s="14" t="s">
        <v>92</v>
      </c>
      <c r="C21" s="4">
        <f>_xlfn.XLOOKUP(B21,Lookups!G:G,Lookups!H:H,"",0,1)</f>
        <v>10</v>
      </c>
      <c r="D21" s="4" t="str">
        <f>_xlfn.XLOOKUP(C21,[1]Sheet2!$A$2:$A$11,[1]Sheet2!$B$2:$B$11,"Not found")</f>
        <v>Suggested Learning</v>
      </c>
      <c r="E21" s="4"/>
      <c r="F21" s="13" t="str">
        <f>_xlfn.XLOOKUP(B21,'Holiday Inn Express'!B:B,'Holiday Inn Express'!F:F,"",0,1)</f>
        <v>Self-paced Online Learning.</v>
      </c>
      <c r="G21" s="13" t="s">
        <v>170</v>
      </c>
      <c r="H21" s="13" t="s">
        <v>170</v>
      </c>
      <c r="I21" s="13" t="s">
        <v>170</v>
      </c>
      <c r="J21" s="13" t="s">
        <v>170</v>
      </c>
      <c r="K21" s="13" t="s">
        <v>169</v>
      </c>
      <c r="L21" s="13" t="s">
        <v>169</v>
      </c>
      <c r="M21" s="13" t="s">
        <v>169</v>
      </c>
      <c r="N21" s="13" t="s">
        <v>169</v>
      </c>
      <c r="O21" s="13" t="s">
        <v>169</v>
      </c>
      <c r="P21" s="13" t="s">
        <v>169</v>
      </c>
      <c r="Q21" s="13" t="s">
        <v>169</v>
      </c>
      <c r="R21" s="13" t="s">
        <v>169</v>
      </c>
      <c r="S21" s="13" t="s">
        <v>169</v>
      </c>
    </row>
    <row r="22" spans="1:19" ht="30" customHeight="1" x14ac:dyDescent="0.2">
      <c r="A22" s="33" t="s">
        <v>93</v>
      </c>
      <c r="B22" s="14" t="s">
        <v>94</v>
      </c>
      <c r="C22" s="4">
        <f>_xlfn.XLOOKUP(B22,Lookups!G:G,Lookups!H:H,"",0,1)</f>
        <v>10</v>
      </c>
      <c r="D22" s="4" t="str">
        <f>_xlfn.XLOOKUP(C22,[1]Sheet2!$A$2:$A$11,[1]Sheet2!$B$2:$B$11,"Not found")</f>
        <v>Suggested Learning</v>
      </c>
      <c r="E22" s="4"/>
      <c r="F22" s="13" t="str">
        <f>_xlfn.XLOOKUP(B22,'Holiday Inn Express'!B:B,'Holiday Inn Express'!F:F,"",0,1)</f>
        <v>Self-paced Online Learning.</v>
      </c>
      <c r="G22" s="13" t="s">
        <v>170</v>
      </c>
      <c r="H22" s="13" t="s">
        <v>169</v>
      </c>
      <c r="I22" s="13" t="s">
        <v>169</v>
      </c>
      <c r="J22" s="13" t="s">
        <v>169</v>
      </c>
      <c r="K22" s="13" t="s">
        <v>169</v>
      </c>
      <c r="L22" s="13" t="s">
        <v>169</v>
      </c>
      <c r="M22" s="13" t="s">
        <v>169</v>
      </c>
      <c r="N22" s="13" t="s">
        <v>169</v>
      </c>
      <c r="O22" s="13" t="s">
        <v>169</v>
      </c>
      <c r="P22" s="13" t="s">
        <v>169</v>
      </c>
      <c r="Q22" s="13" t="s">
        <v>169</v>
      </c>
      <c r="R22" s="13" t="s">
        <v>169</v>
      </c>
      <c r="S22" s="13" t="s">
        <v>169</v>
      </c>
    </row>
    <row r="23" spans="1:19" ht="30" customHeight="1" x14ac:dyDescent="0.2">
      <c r="A23" s="33" t="s">
        <v>95</v>
      </c>
      <c r="B23" s="14" t="s">
        <v>96</v>
      </c>
      <c r="C23" s="4">
        <f>_xlfn.XLOOKUP(B23,Lookups!G:G,Lookups!H:H,"",0,1)</f>
        <v>10</v>
      </c>
      <c r="D23" s="4" t="str">
        <f>_xlfn.XLOOKUP(C23,[1]Sheet2!$A$2:$A$11,[1]Sheet2!$B$2:$B$11,"Not found")</f>
        <v>Suggested Learning</v>
      </c>
      <c r="E23" s="4"/>
      <c r="F23" s="13" t="str">
        <f>_xlfn.XLOOKUP(B23,'Holiday Inn Express'!B:B,'Holiday Inn Express'!F:F,"",0,1)</f>
        <v>Self-paced Online Learning.</v>
      </c>
      <c r="G23" s="13" t="s">
        <v>170</v>
      </c>
      <c r="H23" s="13" t="s">
        <v>169</v>
      </c>
      <c r="I23" s="13" t="s">
        <v>169</v>
      </c>
      <c r="J23" s="13" t="s">
        <v>169</v>
      </c>
      <c r="K23" s="13" t="s">
        <v>169</v>
      </c>
      <c r="L23" s="13" t="s">
        <v>169</v>
      </c>
      <c r="M23" s="13" t="s">
        <v>169</v>
      </c>
      <c r="N23" s="13" t="s">
        <v>169</v>
      </c>
      <c r="O23" s="13" t="s">
        <v>169</v>
      </c>
      <c r="P23" s="13" t="s">
        <v>169</v>
      </c>
      <c r="Q23" s="13" t="s">
        <v>169</v>
      </c>
      <c r="R23" s="13" t="s">
        <v>169</v>
      </c>
      <c r="S23" s="13" t="s">
        <v>169</v>
      </c>
    </row>
    <row r="24" spans="1:19" ht="30" customHeight="1" x14ac:dyDescent="0.2">
      <c r="A24" s="33" t="s">
        <v>97</v>
      </c>
      <c r="B24" s="14" t="s">
        <v>98</v>
      </c>
      <c r="C24" s="4">
        <f>_xlfn.XLOOKUP(B24,Lookups!G:G,Lookups!H:H,"",0,1)</f>
        <v>10</v>
      </c>
      <c r="D24" s="4" t="str">
        <f>_xlfn.XLOOKUP(C24,[1]Sheet2!$A$2:$A$11,[1]Sheet2!$B$2:$B$11,"Not found")</f>
        <v>Suggested Learning</v>
      </c>
      <c r="E24" s="4"/>
      <c r="F24" s="13" t="str">
        <f>_xlfn.XLOOKUP(B24,'Holiday Inn Express'!B:B,'Holiday Inn Express'!F:F,"",0,1)</f>
        <v>Self-paced Online Learning.</v>
      </c>
      <c r="G24" s="13" t="s">
        <v>170</v>
      </c>
      <c r="H24" s="13" t="s">
        <v>169</v>
      </c>
      <c r="I24" s="13" t="s">
        <v>169</v>
      </c>
      <c r="J24" s="13" t="s">
        <v>169</v>
      </c>
      <c r="K24" s="13" t="s">
        <v>169</v>
      </c>
      <c r="L24" s="13" t="s">
        <v>169</v>
      </c>
      <c r="M24" s="13" t="s">
        <v>169</v>
      </c>
      <c r="N24" s="13" t="s">
        <v>169</v>
      </c>
      <c r="O24" s="13" t="s">
        <v>169</v>
      </c>
      <c r="P24" s="13" t="s">
        <v>169</v>
      </c>
      <c r="Q24" s="13" t="s">
        <v>169</v>
      </c>
      <c r="R24" s="13" t="s">
        <v>169</v>
      </c>
      <c r="S24" s="13" t="s">
        <v>169</v>
      </c>
    </row>
    <row r="25" spans="1:19" ht="30" customHeight="1" x14ac:dyDescent="0.2">
      <c r="A25" s="33" t="s">
        <v>99</v>
      </c>
      <c r="B25" s="14" t="s">
        <v>100</v>
      </c>
      <c r="C25" s="4">
        <f>_xlfn.XLOOKUP(B25,Lookups!G:G,Lookups!H:H,"",0,1)</f>
        <v>10</v>
      </c>
      <c r="D25" s="4" t="str">
        <f>_xlfn.XLOOKUP(C25,[1]Sheet2!$A$2:$A$11,[1]Sheet2!$B$2:$B$11,"Not found")</f>
        <v>Suggested Learning</v>
      </c>
      <c r="E25" s="4"/>
      <c r="F25" s="13" t="str">
        <f>_xlfn.XLOOKUP(B25,'Holiday Inn Express'!B:B,'Holiday Inn Express'!F:F,"",0,1)</f>
        <v>Self-paced Online Learning.</v>
      </c>
      <c r="G25" s="13" t="s">
        <v>170</v>
      </c>
      <c r="H25" s="13" t="s">
        <v>169</v>
      </c>
      <c r="I25" s="13" t="s">
        <v>169</v>
      </c>
      <c r="J25" s="13" t="s">
        <v>169</v>
      </c>
      <c r="K25" s="13" t="s">
        <v>169</v>
      </c>
      <c r="L25" s="13" t="s">
        <v>169</v>
      </c>
      <c r="M25" s="13" t="s">
        <v>169</v>
      </c>
      <c r="N25" s="13" t="s">
        <v>169</v>
      </c>
      <c r="O25" s="13" t="s">
        <v>169</v>
      </c>
      <c r="P25" s="13" t="s">
        <v>169</v>
      </c>
      <c r="Q25" s="13" t="s">
        <v>169</v>
      </c>
      <c r="R25" s="13" t="s">
        <v>169</v>
      </c>
      <c r="S25" s="13" t="s">
        <v>169</v>
      </c>
    </row>
    <row r="26" spans="1:19" ht="30" customHeight="1" x14ac:dyDescent="0.2">
      <c r="A26" s="33" t="s">
        <v>101</v>
      </c>
      <c r="B26" s="14" t="s">
        <v>102</v>
      </c>
      <c r="C26" s="4">
        <f>_xlfn.XLOOKUP(B26,Lookups!G:G,Lookups!H:H,"",0,1)</f>
        <v>10</v>
      </c>
      <c r="D26" s="4" t="str">
        <f>_xlfn.XLOOKUP(C26,[1]Sheet2!$A$2:$A$11,[1]Sheet2!$B$2:$B$11,"Not found")</f>
        <v>Suggested Learning</v>
      </c>
      <c r="E26" s="4"/>
      <c r="F26" s="13" t="str">
        <f>_xlfn.XLOOKUP(B26,'Holiday Inn Express'!B:B,'Holiday Inn Express'!F:F,"",0,1)</f>
        <v>Self-paced Online Learning.</v>
      </c>
      <c r="G26" s="13" t="s">
        <v>170</v>
      </c>
      <c r="H26" s="13" t="s">
        <v>170</v>
      </c>
      <c r="I26" s="13" t="s">
        <v>170</v>
      </c>
      <c r="J26" s="13" t="s">
        <v>170</v>
      </c>
      <c r="K26" s="13" t="s">
        <v>169</v>
      </c>
      <c r="L26" s="13" t="s">
        <v>169</v>
      </c>
      <c r="M26" s="13" t="s">
        <v>169</v>
      </c>
      <c r="N26" s="13" t="s">
        <v>169</v>
      </c>
      <c r="O26" s="13" t="s">
        <v>169</v>
      </c>
      <c r="P26" s="13" t="s">
        <v>169</v>
      </c>
      <c r="Q26" s="13" t="s">
        <v>169</v>
      </c>
      <c r="R26" s="13" t="s">
        <v>169</v>
      </c>
      <c r="S26" s="13" t="s">
        <v>169</v>
      </c>
    </row>
    <row r="27" spans="1:19" ht="30" customHeight="1" x14ac:dyDescent="0.2">
      <c r="A27" s="33" t="s">
        <v>103</v>
      </c>
      <c r="B27" s="14" t="s">
        <v>104</v>
      </c>
      <c r="C27" s="4">
        <f>_xlfn.XLOOKUP(B27,Lookups!G:G,Lookups!H:H,"",0,1)</f>
        <v>10</v>
      </c>
      <c r="D27" s="4" t="str">
        <f>_xlfn.XLOOKUP(C27,[1]Sheet2!$A$2:$A$11,[1]Sheet2!$B$2:$B$11,"Not found")</f>
        <v>Suggested Learning</v>
      </c>
      <c r="E27" s="4"/>
      <c r="F27" s="13" t="str">
        <f>_xlfn.XLOOKUP(B27,'Holiday Inn Express'!B:B,'Holiday Inn Express'!F:F,"",0,1)</f>
        <v>Self-paced Online Learning (5 Minutes).</v>
      </c>
      <c r="G27" s="13" t="s">
        <v>170</v>
      </c>
      <c r="H27" s="13" t="s">
        <v>170</v>
      </c>
      <c r="I27" s="13" t="s">
        <v>170</v>
      </c>
      <c r="J27" s="13" t="s">
        <v>170</v>
      </c>
      <c r="K27" s="13" t="s">
        <v>169</v>
      </c>
      <c r="L27" s="13" t="s">
        <v>169</v>
      </c>
      <c r="M27" s="13" t="s">
        <v>169</v>
      </c>
      <c r="N27" s="13" t="s">
        <v>169</v>
      </c>
      <c r="O27" s="13" t="s">
        <v>169</v>
      </c>
      <c r="P27" s="13" t="s">
        <v>169</v>
      </c>
      <c r="Q27" s="13" t="s">
        <v>169</v>
      </c>
      <c r="R27" s="13" t="s">
        <v>169</v>
      </c>
      <c r="S27" s="13" t="s">
        <v>169</v>
      </c>
    </row>
    <row r="28" spans="1:19" ht="30" customHeight="1" x14ac:dyDescent="0.2">
      <c r="A28" s="33" t="s">
        <v>105</v>
      </c>
      <c r="B28" s="14" t="s">
        <v>106</v>
      </c>
      <c r="C28" s="4">
        <f>_xlfn.XLOOKUP(B28,Lookups!G:G,Lookups!H:H,"",0,1)</f>
        <v>10</v>
      </c>
      <c r="D28" s="4" t="str">
        <f>_xlfn.XLOOKUP(C28,[1]Sheet2!$A$2:$A$11,[1]Sheet2!$B$2:$B$11,"Not found")</f>
        <v>Suggested Learning</v>
      </c>
      <c r="E28" s="4"/>
      <c r="F28" s="13" t="str">
        <f>_xlfn.XLOOKUP(B28,'Holiday Inn Express'!B:B,'Holiday Inn Express'!F:F,"",0,1)</f>
        <v>Self-paced Online Learning (25 Minutes).</v>
      </c>
      <c r="G28" s="13" t="s">
        <v>170</v>
      </c>
      <c r="H28" s="13" t="s">
        <v>170</v>
      </c>
      <c r="I28" s="13" t="s">
        <v>169</v>
      </c>
      <c r="J28" s="13" t="s">
        <v>169</v>
      </c>
      <c r="K28" s="13" t="s">
        <v>169</v>
      </c>
      <c r="L28" s="13" t="s">
        <v>169</v>
      </c>
      <c r="M28" s="13" t="s">
        <v>169</v>
      </c>
      <c r="N28" s="13" t="s">
        <v>169</v>
      </c>
      <c r="O28" s="13" t="s">
        <v>169</v>
      </c>
      <c r="P28" s="13" t="s">
        <v>169</v>
      </c>
      <c r="Q28" s="13" t="s">
        <v>169</v>
      </c>
      <c r="R28" s="13" t="s">
        <v>169</v>
      </c>
      <c r="S28" s="13" t="s">
        <v>169</v>
      </c>
    </row>
    <row r="29" spans="1:19" ht="30" customHeight="1" x14ac:dyDescent="0.2">
      <c r="A29" s="49" t="s">
        <v>250</v>
      </c>
      <c r="B29" s="32" t="s">
        <v>251</v>
      </c>
      <c r="C29" s="4">
        <v>5</v>
      </c>
      <c r="D29" s="4" t="s">
        <v>176</v>
      </c>
      <c r="E29" s="4"/>
      <c r="F29" s="13" t="str">
        <f>_xlfn.XLOOKUP(B29,'Holiday Inn Express'!B:B,'Holiday Inn Express'!F:F,"",0,1)</f>
        <v>Self-paced Online Learning (1 Hour 30 Minutes).</v>
      </c>
      <c r="G29" s="13" t="s">
        <v>170</v>
      </c>
      <c r="H29" s="13" t="s">
        <v>170</v>
      </c>
      <c r="I29" s="13" t="s">
        <v>169</v>
      </c>
      <c r="J29" s="13" t="s">
        <v>169</v>
      </c>
      <c r="K29" s="13" t="s">
        <v>169</v>
      </c>
      <c r="L29" s="13" t="s">
        <v>169</v>
      </c>
      <c r="M29" s="13" t="s">
        <v>169</v>
      </c>
      <c r="N29" s="13" t="s">
        <v>169</v>
      </c>
      <c r="O29" s="13" t="s">
        <v>169</v>
      </c>
      <c r="P29" s="13" t="s">
        <v>169</v>
      </c>
      <c r="Q29" s="13" t="s">
        <v>169</v>
      </c>
      <c r="R29" s="13" t="s">
        <v>169</v>
      </c>
      <c r="S29" s="13" t="s">
        <v>169</v>
      </c>
    </row>
    <row r="30" spans="1:19" ht="30" customHeight="1" x14ac:dyDescent="0.2">
      <c r="A30" s="33" t="s">
        <v>107</v>
      </c>
      <c r="B30" s="14" t="s">
        <v>108</v>
      </c>
      <c r="C30" s="4">
        <f>_xlfn.XLOOKUP(B30,Lookups!G:G,Lookups!H:H,"",0,1)</f>
        <v>10</v>
      </c>
      <c r="D30" s="4" t="str">
        <f>_xlfn.XLOOKUP(C30,[1]Sheet2!$A$2:$A$11,[1]Sheet2!$B$2:$B$11,"Not found")</f>
        <v>Suggested Learning</v>
      </c>
      <c r="E30" s="4"/>
      <c r="F30" s="13" t="str">
        <f>_xlfn.XLOOKUP(B30,'Holiday Inn Express'!B:B,'Holiday Inn Express'!F:F,"",0,1)</f>
        <v>Self-paced Online Learning.</v>
      </c>
      <c r="G30" s="13" t="s">
        <v>170</v>
      </c>
      <c r="H30" s="13" t="s">
        <v>170</v>
      </c>
      <c r="I30" s="13" t="s">
        <v>169</v>
      </c>
      <c r="J30" s="13" t="s">
        <v>169</v>
      </c>
      <c r="K30" s="13" t="s">
        <v>169</v>
      </c>
      <c r="L30" s="13" t="s">
        <v>169</v>
      </c>
      <c r="M30" s="13" t="s">
        <v>169</v>
      </c>
      <c r="N30" s="13" t="s">
        <v>169</v>
      </c>
      <c r="O30" s="13" t="s">
        <v>169</v>
      </c>
      <c r="P30" s="13" t="s">
        <v>169</v>
      </c>
      <c r="Q30" s="13" t="s">
        <v>169</v>
      </c>
      <c r="R30" s="13" t="s">
        <v>169</v>
      </c>
      <c r="S30" s="13" t="s">
        <v>169</v>
      </c>
    </row>
    <row r="31" spans="1:19" ht="30" customHeight="1" x14ac:dyDescent="0.2">
      <c r="A31" s="33" t="s">
        <v>109</v>
      </c>
      <c r="B31" s="12" t="s">
        <v>110</v>
      </c>
      <c r="C31" s="4">
        <f>_xlfn.XLOOKUP(B31,Lookups!G:G,Lookups!H:H,"",0,1)</f>
        <v>6</v>
      </c>
      <c r="D31" s="4" t="str">
        <f>_xlfn.XLOOKUP(C31,[1]Sheet2!$A$2:$A$11,[1]Sheet2!$B$2:$B$11,"Not found")</f>
        <v>within 120 days</v>
      </c>
      <c r="E31" s="4"/>
      <c r="F31" s="13" t="str">
        <f>_xlfn.XLOOKUP(B31,'Holiday Inn Express'!B:B,'Holiday Inn Express'!F:F,"",0,1)</f>
        <v>In-person Instructor Led Course (see available dates &amp; times by clicking the link below). Prerequisite:  Must Complete Sales Learning Pathway</v>
      </c>
      <c r="G31" s="13" t="s">
        <v>170</v>
      </c>
      <c r="H31" s="13" t="s">
        <v>170</v>
      </c>
      <c r="I31" s="13" t="s">
        <v>169</v>
      </c>
      <c r="J31" s="13" t="s">
        <v>169</v>
      </c>
      <c r="K31" s="13" t="s">
        <v>169</v>
      </c>
      <c r="L31" s="13" t="s">
        <v>169</v>
      </c>
      <c r="M31" s="13" t="s">
        <v>169</v>
      </c>
      <c r="N31" s="13" t="s">
        <v>169</v>
      </c>
      <c r="O31" s="13" t="s">
        <v>169</v>
      </c>
      <c r="P31" s="13" t="s">
        <v>169</v>
      </c>
      <c r="Q31" s="13" t="s">
        <v>169</v>
      </c>
      <c r="R31" s="13" t="s">
        <v>169</v>
      </c>
      <c r="S31" s="13" t="s">
        <v>169</v>
      </c>
    </row>
    <row r="32" spans="1:19" ht="30" customHeight="1" x14ac:dyDescent="0.2">
      <c r="A32" s="33" t="s">
        <v>111</v>
      </c>
      <c r="B32" s="14" t="s">
        <v>112</v>
      </c>
      <c r="C32" s="4">
        <f>_xlfn.XLOOKUP(B32,Lookups!G:G,Lookups!H:H,"",0,1)</f>
        <v>10</v>
      </c>
      <c r="D32" s="4" t="str">
        <f>_xlfn.XLOOKUP(C32,[1]Sheet2!$A$2:$A$11,[1]Sheet2!$B$2:$B$11,"Not found")</f>
        <v>Suggested Learning</v>
      </c>
      <c r="E32" s="4"/>
      <c r="F32" s="13" t="str">
        <f>_xlfn.XLOOKUP(B32,'Holiday Inn Express'!B:B,'Holiday Inn Express'!F:F,"",0,1)</f>
        <v>Self-paced Online Learning.</v>
      </c>
      <c r="G32" s="13" t="s">
        <v>170</v>
      </c>
      <c r="H32" s="13" t="s">
        <v>169</v>
      </c>
      <c r="I32" s="13" t="s">
        <v>170</v>
      </c>
      <c r="J32" s="13" t="s">
        <v>169</v>
      </c>
      <c r="K32" s="13" t="s">
        <v>169</v>
      </c>
      <c r="L32" s="13" t="s">
        <v>169</v>
      </c>
      <c r="M32" s="13" t="s">
        <v>169</v>
      </c>
      <c r="N32" s="13" t="s">
        <v>169</v>
      </c>
      <c r="O32" s="13" t="s">
        <v>169</v>
      </c>
      <c r="P32" s="13" t="s">
        <v>169</v>
      </c>
      <c r="Q32" s="13" t="s">
        <v>169</v>
      </c>
      <c r="R32" s="13" t="s">
        <v>169</v>
      </c>
      <c r="S32" s="13" t="s">
        <v>169</v>
      </c>
    </row>
    <row r="33" spans="1:19" ht="30" customHeight="1" x14ac:dyDescent="0.2">
      <c r="A33" s="33" t="s">
        <v>113</v>
      </c>
      <c r="B33" s="14" t="s">
        <v>114</v>
      </c>
      <c r="C33" s="4">
        <f>_xlfn.XLOOKUP(B33,Lookups!G:G,Lookups!H:H,"",0,1)</f>
        <v>10</v>
      </c>
      <c r="D33" s="4" t="str">
        <f>_xlfn.XLOOKUP(C33,[1]Sheet2!$A$2:$A$11,[1]Sheet2!$B$2:$B$11,"Not found")</f>
        <v>Suggested Learning</v>
      </c>
      <c r="E33" s="4"/>
      <c r="F33" s="13" t="str">
        <f>_xlfn.XLOOKUP(B33,'Holiday Inn Express'!B:B,'Holiday Inn Express'!F:F,"",0,1)</f>
        <v>Self-paced Online Learning.</v>
      </c>
      <c r="G33" s="13" t="s">
        <v>170</v>
      </c>
      <c r="H33" s="13" t="s">
        <v>169</v>
      </c>
      <c r="I33" s="13" t="s">
        <v>170</v>
      </c>
      <c r="J33" s="13" t="s">
        <v>169</v>
      </c>
      <c r="K33" s="13" t="s">
        <v>169</v>
      </c>
      <c r="L33" s="13" t="s">
        <v>169</v>
      </c>
      <c r="M33" s="13" t="s">
        <v>169</v>
      </c>
      <c r="N33" s="13" t="s">
        <v>169</v>
      </c>
      <c r="O33" s="13" t="s">
        <v>169</v>
      </c>
      <c r="P33" s="13" t="s">
        <v>169</v>
      </c>
      <c r="Q33" s="13" t="s">
        <v>169</v>
      </c>
      <c r="R33" s="13" t="s">
        <v>169</v>
      </c>
      <c r="S33" s="13" t="s">
        <v>169</v>
      </c>
    </row>
    <row r="34" spans="1:19" ht="30" customHeight="1" x14ac:dyDescent="0.2">
      <c r="A34" s="33" t="s">
        <v>115</v>
      </c>
      <c r="B34" s="14" t="s">
        <v>116</v>
      </c>
      <c r="C34" s="4">
        <f>_xlfn.XLOOKUP(B34,Lookups!G:G,Lookups!H:H,"",0,1)</f>
        <v>10</v>
      </c>
      <c r="D34" s="4" t="str">
        <f>_xlfn.XLOOKUP(C34,[1]Sheet2!$A$2:$A$11,[1]Sheet2!$B$2:$B$11,"Not found")</f>
        <v>Suggested Learning</v>
      </c>
      <c r="E34" s="4"/>
      <c r="F34" s="13" t="str">
        <f>_xlfn.XLOOKUP(B34,'Holiday Inn Express'!B:B,'Holiday Inn Express'!F:F,"",0,1)</f>
        <v>Self-paced Online Learning.</v>
      </c>
      <c r="G34" s="13" t="s">
        <v>170</v>
      </c>
      <c r="H34" s="13" t="s">
        <v>169</v>
      </c>
      <c r="I34" s="13" t="s">
        <v>170</v>
      </c>
      <c r="J34" s="13" t="s">
        <v>169</v>
      </c>
      <c r="K34" s="13" t="s">
        <v>169</v>
      </c>
      <c r="L34" s="13" t="s">
        <v>169</v>
      </c>
      <c r="M34" s="13" t="s">
        <v>169</v>
      </c>
      <c r="N34" s="13" t="s">
        <v>169</v>
      </c>
      <c r="O34" s="13" t="s">
        <v>169</v>
      </c>
      <c r="P34" s="13" t="s">
        <v>169</v>
      </c>
      <c r="Q34" s="13" t="s">
        <v>169</v>
      </c>
      <c r="R34" s="13" t="s">
        <v>169</v>
      </c>
      <c r="S34" s="13" t="s">
        <v>169</v>
      </c>
    </row>
    <row r="35" spans="1:19" ht="30" customHeight="1" x14ac:dyDescent="0.2">
      <c r="A35" s="33" t="s">
        <v>117</v>
      </c>
      <c r="B35" s="14" t="s">
        <v>118</v>
      </c>
      <c r="C35" s="4">
        <f>_xlfn.XLOOKUP(B35,Lookups!G:G,Lookups!H:H,"",0,1)</f>
        <v>10</v>
      </c>
      <c r="D35" s="4" t="str">
        <f>_xlfn.XLOOKUP(C35,[1]Sheet2!$A$2:$A$11,[1]Sheet2!$B$2:$B$11,"Not found")</f>
        <v>Suggested Learning</v>
      </c>
      <c r="E35" s="4"/>
      <c r="F35" s="13" t="str">
        <f>_xlfn.XLOOKUP(B35,'Holiday Inn Express'!B:B,'Holiday Inn Express'!F:F,"",0,1)</f>
        <v>Self-paced Online Learning.</v>
      </c>
      <c r="G35" s="13" t="s">
        <v>170</v>
      </c>
      <c r="H35" s="13" t="s">
        <v>169</v>
      </c>
      <c r="I35" s="13" t="s">
        <v>170</v>
      </c>
      <c r="J35" s="13" t="s">
        <v>169</v>
      </c>
      <c r="K35" s="13" t="s">
        <v>169</v>
      </c>
      <c r="L35" s="13" t="s">
        <v>169</v>
      </c>
      <c r="M35" s="13" t="s">
        <v>169</v>
      </c>
      <c r="N35" s="13" t="s">
        <v>169</v>
      </c>
      <c r="O35" s="13" t="s">
        <v>169</v>
      </c>
      <c r="P35" s="13" t="s">
        <v>169</v>
      </c>
      <c r="Q35" s="13" t="s">
        <v>169</v>
      </c>
      <c r="R35" s="13" t="s">
        <v>169</v>
      </c>
      <c r="S35" s="13" t="s">
        <v>169</v>
      </c>
    </row>
    <row r="36" spans="1:19" ht="30" customHeight="1" x14ac:dyDescent="0.2">
      <c r="A36" s="33" t="s">
        <v>119</v>
      </c>
      <c r="B36" s="14" t="s">
        <v>120</v>
      </c>
      <c r="C36" s="4">
        <f>_xlfn.XLOOKUP(B36,Lookups!G:G,Lookups!H:H,"",0,1)</f>
        <v>10</v>
      </c>
      <c r="D36" s="4" t="str">
        <f>_xlfn.XLOOKUP(C36,[1]Sheet2!$A$2:$A$11,[1]Sheet2!$B$2:$B$11,"Not found")</f>
        <v>Suggested Learning</v>
      </c>
      <c r="E36" s="4"/>
      <c r="F36" s="13" t="str">
        <f>_xlfn.XLOOKUP(B36,'Holiday Inn Express'!B:B,'Holiday Inn Express'!F:F,"",0,1)</f>
        <v>Self-paced Online Learning.</v>
      </c>
      <c r="G36" s="13" t="s">
        <v>170</v>
      </c>
      <c r="H36" s="13" t="s">
        <v>169</v>
      </c>
      <c r="I36" s="13" t="s">
        <v>170</v>
      </c>
      <c r="J36" s="13" t="s">
        <v>169</v>
      </c>
      <c r="K36" s="13" t="s">
        <v>169</v>
      </c>
      <c r="L36" s="13" t="s">
        <v>169</v>
      </c>
      <c r="M36" s="13" t="s">
        <v>169</v>
      </c>
      <c r="N36" s="13" t="s">
        <v>169</v>
      </c>
      <c r="O36" s="13" t="s">
        <v>169</v>
      </c>
      <c r="P36" s="13" t="s">
        <v>169</v>
      </c>
      <c r="Q36" s="13" t="s">
        <v>169</v>
      </c>
      <c r="R36" s="13" t="s">
        <v>169</v>
      </c>
      <c r="S36" s="13" t="s">
        <v>169</v>
      </c>
    </row>
    <row r="37" spans="1:19" ht="30" customHeight="1" x14ac:dyDescent="0.2">
      <c r="A37" s="33" t="s">
        <v>121</v>
      </c>
      <c r="B37" s="14" t="s">
        <v>307</v>
      </c>
      <c r="C37" s="4">
        <f>_xlfn.XLOOKUP(B37,Lookups!G:G,Lookups!H:H,"",0,1)</f>
        <v>10</v>
      </c>
      <c r="D37" s="4" t="str">
        <f>_xlfn.XLOOKUP(C37,[1]Sheet2!$A$2:$A$11,[1]Sheet2!$B$2:$B$11,"Not found")</f>
        <v>Suggested Learning</v>
      </c>
      <c r="E37" s="4"/>
      <c r="F37" s="13" t="str">
        <f>_xlfn.XLOOKUP(B37,'Holiday Inn Express'!B:B,'Holiday Inn Express'!F:F,"",0,1)</f>
        <v>Self-paced Online Learning.</v>
      </c>
      <c r="G37" s="13" t="s">
        <v>170</v>
      </c>
      <c r="H37" s="13" t="s">
        <v>169</v>
      </c>
      <c r="I37" s="13" t="s">
        <v>170</v>
      </c>
      <c r="J37" s="13" t="s">
        <v>169</v>
      </c>
      <c r="K37" s="13" t="s">
        <v>169</v>
      </c>
      <c r="L37" s="13" t="s">
        <v>169</v>
      </c>
      <c r="M37" s="13" t="s">
        <v>169</v>
      </c>
      <c r="N37" s="13" t="s">
        <v>169</v>
      </c>
      <c r="O37" s="13" t="s">
        <v>169</v>
      </c>
      <c r="P37" s="13" t="s">
        <v>169</v>
      </c>
      <c r="Q37" s="13" t="s">
        <v>169</v>
      </c>
      <c r="R37" s="13" t="s">
        <v>169</v>
      </c>
      <c r="S37" s="13" t="s">
        <v>169</v>
      </c>
    </row>
    <row r="38" spans="1:19" ht="30" customHeight="1" x14ac:dyDescent="0.2">
      <c r="A38" s="33" t="s">
        <v>122</v>
      </c>
      <c r="B38" s="14" t="s">
        <v>123</v>
      </c>
      <c r="C38" s="4">
        <f>_xlfn.XLOOKUP(B38,Lookups!G:G,Lookups!H:H,"",0,1)</f>
        <v>5</v>
      </c>
      <c r="D38" s="4" t="str">
        <f>_xlfn.XLOOKUP(C38,[1]Sheet2!$A$2:$A$11,[1]Sheet2!$B$2:$B$11,"Not found")</f>
        <v>within 90 days</v>
      </c>
      <c r="E38" s="4"/>
      <c r="F38" s="13" t="str">
        <f>_xlfn.XLOOKUP(B38,'Holiday Inn Express'!B:B,'Holiday Inn Express'!F:F,"",0,1)</f>
        <v/>
      </c>
      <c r="G38" s="13" t="s">
        <v>169</v>
      </c>
      <c r="H38" s="13" t="s">
        <v>169</v>
      </c>
      <c r="I38" s="13" t="s">
        <v>170</v>
      </c>
      <c r="J38" s="13" t="s">
        <v>169</v>
      </c>
      <c r="K38" s="13" t="s">
        <v>169</v>
      </c>
      <c r="L38" s="13" t="s">
        <v>169</v>
      </c>
      <c r="M38" s="13" t="s">
        <v>169</v>
      </c>
      <c r="N38" s="13" t="s">
        <v>169</v>
      </c>
      <c r="O38" s="13" t="s">
        <v>169</v>
      </c>
      <c r="P38" s="13" t="s">
        <v>169</v>
      </c>
      <c r="Q38" s="13" t="s">
        <v>169</v>
      </c>
      <c r="R38" s="13" t="s">
        <v>169</v>
      </c>
      <c r="S38" s="13" t="s">
        <v>169</v>
      </c>
    </row>
    <row r="39" spans="1:19" ht="30" customHeight="1" x14ac:dyDescent="0.2">
      <c r="A39" s="30" t="s">
        <v>124</v>
      </c>
      <c r="B39" s="8" t="s">
        <v>238</v>
      </c>
      <c r="C39" s="4">
        <v>7</v>
      </c>
      <c r="D39" s="4" t="s">
        <v>178</v>
      </c>
      <c r="E39" s="4"/>
      <c r="F39" s="13" t="str">
        <f>_xlfn.XLOOKUP(B39,'Holiday Inn Express'!B:B,'Holiday Inn Express'!F:F,"",0,1)</f>
        <v>Access to the system will automatically be given. For New Hotels - only to be completed after official hotel opening.</v>
      </c>
      <c r="G39" s="13" t="s">
        <v>170</v>
      </c>
      <c r="H39" s="13" t="s">
        <v>169</v>
      </c>
      <c r="I39" s="13" t="s">
        <v>169</v>
      </c>
      <c r="J39" s="13" t="s">
        <v>169</v>
      </c>
      <c r="K39" s="13" t="s">
        <v>169</v>
      </c>
      <c r="L39" s="13" t="s">
        <v>169</v>
      </c>
      <c r="M39" s="13" t="s">
        <v>169</v>
      </c>
      <c r="N39" s="13" t="s">
        <v>169</v>
      </c>
      <c r="O39" s="13" t="s">
        <v>169</v>
      </c>
      <c r="P39" s="13" t="s">
        <v>169</v>
      </c>
      <c r="Q39" s="13" t="s">
        <v>169</v>
      </c>
      <c r="R39" s="13" t="s">
        <v>169</v>
      </c>
      <c r="S39" s="13" t="s">
        <v>169</v>
      </c>
    </row>
    <row r="40" spans="1:19" ht="30" customHeight="1" x14ac:dyDescent="0.2">
      <c r="A40" s="30" t="s">
        <v>125</v>
      </c>
      <c r="B40" s="8" t="s">
        <v>239</v>
      </c>
      <c r="C40" s="4">
        <v>7</v>
      </c>
      <c r="D40" s="4" t="s">
        <v>178</v>
      </c>
      <c r="E40" s="4"/>
      <c r="F40" s="13" t="str">
        <f>_xlfn.XLOOKUP(B40,'Holiday Inn Express'!B:B,'Holiday Inn Express'!F:F,"",0,1)</f>
        <v>Prerequisite: Must complete Onboarding Learning Plan</v>
      </c>
      <c r="G40" s="13" t="s">
        <v>170</v>
      </c>
      <c r="H40" s="13" t="s">
        <v>169</v>
      </c>
      <c r="I40" s="13" t="s">
        <v>169</v>
      </c>
      <c r="J40" s="13" t="s">
        <v>169</v>
      </c>
      <c r="K40" s="13" t="s">
        <v>169</v>
      </c>
      <c r="L40" s="13" t="s">
        <v>169</v>
      </c>
      <c r="M40" s="13" t="s">
        <v>169</v>
      </c>
      <c r="N40" s="13" t="s">
        <v>169</v>
      </c>
      <c r="O40" s="13" t="s">
        <v>169</v>
      </c>
      <c r="P40" s="13" t="s">
        <v>169</v>
      </c>
      <c r="Q40" s="13" t="s">
        <v>169</v>
      </c>
      <c r="R40" s="13" t="s">
        <v>169</v>
      </c>
      <c r="S40" s="13" t="s">
        <v>169</v>
      </c>
    </row>
    <row r="41" spans="1:19" ht="30" customHeight="1" x14ac:dyDescent="0.2">
      <c r="A41" s="33" t="s">
        <v>127</v>
      </c>
      <c r="B41" s="13" t="s">
        <v>128</v>
      </c>
      <c r="C41" s="4">
        <f>_xlfn.XLOOKUP(B41,Lookups!G:G,Lookups!H:H,"",0,1)</f>
        <v>10</v>
      </c>
      <c r="D41" s="4" t="str">
        <f>_xlfn.XLOOKUP(C41,[1]Sheet2!$A$2:$A$11,[1]Sheet2!$B$2:$B$11,"Not found")</f>
        <v>Suggested Learning</v>
      </c>
      <c r="E41" s="4"/>
      <c r="F41" s="13" t="str">
        <f>_xlfn.XLOOKUP(B41,'Holiday Inn Express'!B:B,'Holiday Inn Express'!F:F,"",0,1)</f>
        <v>Self-paced Online Learning (25 Minutes).</v>
      </c>
      <c r="G41" s="13" t="s">
        <v>170</v>
      </c>
      <c r="H41" s="18" t="s">
        <v>169</v>
      </c>
      <c r="I41" s="18" t="s">
        <v>169</v>
      </c>
      <c r="J41" s="18" t="s">
        <v>169</v>
      </c>
      <c r="K41" s="18" t="s">
        <v>169</v>
      </c>
      <c r="L41" s="18" t="s">
        <v>170</v>
      </c>
      <c r="M41" s="18" t="s">
        <v>169</v>
      </c>
      <c r="N41" s="18" t="s">
        <v>169</v>
      </c>
      <c r="O41" s="18" t="s">
        <v>169</v>
      </c>
      <c r="P41" s="18" t="s">
        <v>169</v>
      </c>
      <c r="Q41" s="18" t="s">
        <v>169</v>
      </c>
      <c r="R41" s="18" t="s">
        <v>169</v>
      </c>
      <c r="S41" s="18" t="s">
        <v>169</v>
      </c>
    </row>
    <row r="42" spans="1:19" ht="30" customHeight="1" x14ac:dyDescent="0.2">
      <c r="A42" s="30" t="s">
        <v>129</v>
      </c>
      <c r="B42" s="17" t="s">
        <v>130</v>
      </c>
      <c r="C42" s="4">
        <f>_xlfn.XLOOKUP(B42,Lookups!G:G,Lookups!H:H,"",0,1)</f>
        <v>10</v>
      </c>
      <c r="D42" s="4" t="str">
        <f>_xlfn.XLOOKUP(C42,[1]Sheet2!$A$2:$A$11,[1]Sheet2!$B$2:$B$11,"Not found")</f>
        <v>Suggested Learning</v>
      </c>
      <c r="E42" s="4"/>
      <c r="F42" s="13" t="str">
        <f>_xlfn.XLOOKUP(B42,'Holiday Inn Express'!B:B,'Holiday Inn Express'!F:F,"",0,1)</f>
        <v>Self-paced Online Learning (25 Minutes).</v>
      </c>
      <c r="G42" s="18" t="s">
        <v>169</v>
      </c>
      <c r="H42" s="18" t="s">
        <v>169</v>
      </c>
      <c r="I42" s="18" t="s">
        <v>169</v>
      </c>
      <c r="J42" s="18" t="s">
        <v>169</v>
      </c>
      <c r="K42" s="18" t="s">
        <v>169</v>
      </c>
      <c r="L42" s="18" t="s">
        <v>169</v>
      </c>
      <c r="M42" s="18" t="s">
        <v>169</v>
      </c>
      <c r="N42" s="18" t="s">
        <v>169</v>
      </c>
      <c r="O42" s="18" t="s">
        <v>169</v>
      </c>
      <c r="P42" s="18" t="s">
        <v>170</v>
      </c>
      <c r="Q42" s="18" t="s">
        <v>169</v>
      </c>
      <c r="R42" s="18" t="s">
        <v>169</v>
      </c>
      <c r="S42" s="18" t="s">
        <v>169</v>
      </c>
    </row>
    <row r="43" spans="1:19" ht="30" customHeight="1" x14ac:dyDescent="0.2">
      <c r="A43" s="33" t="s">
        <v>133</v>
      </c>
      <c r="B43" s="12" t="s">
        <v>134</v>
      </c>
      <c r="C43" s="4">
        <f>_xlfn.XLOOKUP(B43,Lookups!G:G,Lookups!H:H,"",0,1)</f>
        <v>10</v>
      </c>
      <c r="D43" s="4" t="str">
        <f>_xlfn.XLOOKUP(C43,[1]Sheet2!$A$2:$A$11,[1]Sheet2!$B$2:$B$11,"Not found")</f>
        <v>Suggested Learning</v>
      </c>
      <c r="E43" s="4"/>
      <c r="F43" s="13" t="str">
        <f>_xlfn.XLOOKUP(B43,voco!B:B,voco!F:F,"",0,1)</f>
        <v>Self-paced Online Learning (15 Minutes).</v>
      </c>
      <c r="G43" s="13" t="s">
        <v>169</v>
      </c>
      <c r="H43" s="18" t="s">
        <v>169</v>
      </c>
      <c r="I43" s="18" t="s">
        <v>169</v>
      </c>
      <c r="J43" s="18" t="s">
        <v>169</v>
      </c>
      <c r="K43" s="18" t="s">
        <v>169</v>
      </c>
      <c r="L43" s="18" t="s">
        <v>170</v>
      </c>
      <c r="M43" s="18" t="s">
        <v>169</v>
      </c>
      <c r="N43" s="18" t="s">
        <v>169</v>
      </c>
      <c r="O43" s="18" t="s">
        <v>169</v>
      </c>
      <c r="P43" s="18" t="s">
        <v>170</v>
      </c>
      <c r="Q43" s="18" t="s">
        <v>169</v>
      </c>
      <c r="R43" s="18" t="s">
        <v>169</v>
      </c>
      <c r="S43" s="18" t="s">
        <v>169</v>
      </c>
    </row>
    <row r="44" spans="1:19" ht="30" customHeight="1" x14ac:dyDescent="0.2">
      <c r="A44" s="35" t="s">
        <v>135</v>
      </c>
      <c r="B44" s="14" t="s">
        <v>136</v>
      </c>
      <c r="C44" s="4">
        <f>_xlfn.XLOOKUP(B44,Lookups!G:G,Lookups!H:H,"",0,1)</f>
        <v>10</v>
      </c>
      <c r="D44" s="4" t="str">
        <f>_xlfn.XLOOKUP(C44,[1]Sheet2!$A$2:$A$11,[1]Sheet2!$B$2:$B$11,"Not found")</f>
        <v>Suggested Learning</v>
      </c>
      <c r="E44" s="4"/>
      <c r="F44" s="13" t="str">
        <f>_xlfn.XLOOKUP(B44,voco!B:B,voco!F:F,"",0,1)</f>
        <v>Self-paced Online Learning (15 Minutes).</v>
      </c>
      <c r="G44" s="13" t="s">
        <v>169</v>
      </c>
      <c r="H44" s="18" t="s">
        <v>169</v>
      </c>
      <c r="I44" s="18" t="s">
        <v>169</v>
      </c>
      <c r="J44" s="18" t="s">
        <v>169</v>
      </c>
      <c r="K44" s="18" t="s">
        <v>169</v>
      </c>
      <c r="L44" s="18" t="s">
        <v>170</v>
      </c>
      <c r="M44" s="18" t="s">
        <v>169</v>
      </c>
      <c r="N44" s="18" t="s">
        <v>169</v>
      </c>
      <c r="O44" s="18" t="s">
        <v>169</v>
      </c>
      <c r="P44" s="18" t="s">
        <v>170</v>
      </c>
      <c r="Q44" s="18" t="s">
        <v>169</v>
      </c>
      <c r="R44" s="18" t="s">
        <v>169</v>
      </c>
      <c r="S44" s="18" t="s">
        <v>169</v>
      </c>
    </row>
    <row r="45" spans="1:19" ht="30" customHeight="1" x14ac:dyDescent="0.2">
      <c r="A45" s="35" t="s">
        <v>137</v>
      </c>
      <c r="B45" s="14" t="s">
        <v>138</v>
      </c>
      <c r="C45" s="4">
        <f>_xlfn.XLOOKUP(B45,Lookups!G:G,Lookups!H:H,"",0,1)</f>
        <v>10</v>
      </c>
      <c r="D45" s="4" t="str">
        <f>_xlfn.XLOOKUP(C45,[1]Sheet2!$A$2:$A$11,[1]Sheet2!$B$2:$B$11,"Not found")</f>
        <v>Suggested Learning</v>
      </c>
      <c r="E45" s="4"/>
      <c r="F45" s="13" t="str">
        <f>_xlfn.XLOOKUP(B45,voco!B:B,voco!F:F,"",0,1)</f>
        <v>Self-paced Online Learning.</v>
      </c>
      <c r="G45" s="18" t="s">
        <v>169</v>
      </c>
      <c r="H45" s="18" t="s">
        <v>169</v>
      </c>
      <c r="I45" s="18" t="s">
        <v>169</v>
      </c>
      <c r="J45" s="18" t="s">
        <v>169</v>
      </c>
      <c r="K45" s="18" t="s">
        <v>169</v>
      </c>
      <c r="L45" s="18" t="s">
        <v>170</v>
      </c>
      <c r="M45" s="18" t="s">
        <v>169</v>
      </c>
      <c r="N45" s="18" t="s">
        <v>169</v>
      </c>
      <c r="O45" s="18" t="s">
        <v>169</v>
      </c>
      <c r="P45" s="18" t="s">
        <v>170</v>
      </c>
      <c r="Q45" s="18" t="s">
        <v>169</v>
      </c>
      <c r="R45" s="18" t="s">
        <v>169</v>
      </c>
      <c r="S45" s="18" t="s">
        <v>169</v>
      </c>
    </row>
    <row r="46" spans="1:19" ht="30" customHeight="1" x14ac:dyDescent="0.2">
      <c r="A46" s="35" t="s">
        <v>152</v>
      </c>
      <c r="B46" s="14" t="s">
        <v>151</v>
      </c>
      <c r="C46" s="4">
        <f>_xlfn.XLOOKUP(B46,Lookups!G:G,Lookups!H:H,"",0,1)</f>
        <v>10</v>
      </c>
      <c r="D46" s="4" t="str">
        <f>_xlfn.XLOOKUP(C46,[1]Sheet2!$A$2:$A$11,[1]Sheet2!$B$2:$B$11,"Not found")</f>
        <v>Suggested Learning</v>
      </c>
      <c r="E46" s="4"/>
      <c r="F46" s="13" t="str">
        <f>_xlfn.XLOOKUP(B46,voco!B:B,voco!F:F,"",0,1)</f>
        <v>Self-paced Online Learning (30 Minutes).</v>
      </c>
      <c r="G46" s="18" t="s">
        <v>169</v>
      </c>
      <c r="H46" s="18" t="s">
        <v>169</v>
      </c>
      <c r="I46" s="18" t="s">
        <v>169</v>
      </c>
      <c r="J46" s="18" t="s">
        <v>169</v>
      </c>
      <c r="K46" s="18" t="s">
        <v>169</v>
      </c>
      <c r="L46" s="18" t="s">
        <v>170</v>
      </c>
      <c r="M46" s="18" t="s">
        <v>169</v>
      </c>
      <c r="N46" s="18" t="s">
        <v>169</v>
      </c>
      <c r="O46" s="18" t="s">
        <v>169</v>
      </c>
      <c r="P46" s="18" t="s">
        <v>170</v>
      </c>
      <c r="Q46" s="18" t="s">
        <v>169</v>
      </c>
      <c r="R46" s="18" t="s">
        <v>169</v>
      </c>
      <c r="S46" s="18" t="s">
        <v>169</v>
      </c>
    </row>
  </sheetData>
  <hyperlinks>
    <hyperlink ref="B2" r:id="rId1" display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xr:uid="{1C8259B9-699D-4501-93D8-388B548FE61B}"/>
    <hyperlink ref="B11" r:id="rId2" display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xr:uid="{67EEAF65-AF86-471B-920F-AA02E33F4F3E}"/>
    <hyperlink ref="B9" r:id="rId3" display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xr:uid="{F97D07DB-92E9-403F-B6D4-363D74FC2365}"/>
    <hyperlink ref="B31" r:id="rId4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04B66056-B0F4-4F48-82D3-F03D1835861E}"/>
    <hyperlink ref="B12" r:id="rId5" xr:uid="{552F80D1-0A13-48C8-AEEA-00EFC284579C}"/>
    <hyperlink ref="B14" r:id="rId6" xr:uid="{AA856CF2-9B1C-473B-B63B-1A60E9BEEE19}"/>
    <hyperlink ref="B15" r:id="rId7" xr:uid="{606A6E62-1E49-4906-A3C7-FC2DD03C7DB5}"/>
    <hyperlink ref="B16" r:id="rId8" xr:uid="{1936281E-E9C7-45F4-B897-400BB6CD0889}"/>
    <hyperlink ref="B17" r:id="rId9" xr:uid="{03EBD27E-AFA2-4592-9FE4-7DF437D67191}"/>
    <hyperlink ref="B18" r:id="rId10" xr:uid="{0CE2D51F-A318-4285-B146-D81D786C200E}"/>
    <hyperlink ref="B27" r:id="rId11" xr:uid="{EEEAD1EE-DCF7-4096-9DC6-3D6612CA9C75}"/>
    <hyperlink ref="B26" r:id="rId12" xr:uid="{8670A279-5C85-4D5D-9E84-437686B8BEEF}"/>
    <hyperlink ref="B25" r:id="rId13" xr:uid="{3E521FB1-7271-42ED-8086-250257D0380F}"/>
    <hyperlink ref="B24" r:id="rId14" xr:uid="{D723D585-D5A2-49BD-810E-D103A4F48171}"/>
    <hyperlink ref="B23" r:id="rId15" xr:uid="{54BA0D27-DC55-48E6-85DB-33B94DF6BCF1}"/>
    <hyperlink ref="B22" r:id="rId16" xr:uid="{685CDDB6-17C4-4C4D-9BEC-4E3ABD25208D}"/>
    <hyperlink ref="B21" r:id="rId17" xr:uid="{96048401-29B9-4909-8966-E389C012C414}"/>
    <hyperlink ref="B28" r:id="rId18" xr:uid="{F54714EE-4CC0-4EF1-8B6E-33369AB052C5}"/>
    <hyperlink ref="B30" r:id="rId19" xr:uid="{416F0404-D03A-49F1-A04A-39B3082E68B1}"/>
    <hyperlink ref="B32" r:id="rId20" xr:uid="{E4D866EA-55B0-4F39-ADAC-165BA16072F4}"/>
    <hyperlink ref="B33" r:id="rId21" xr:uid="{32575634-4A82-4436-81DE-EEAD2127DAA7}"/>
    <hyperlink ref="B13" r:id="rId22" xr:uid="{1E028452-F238-45F3-A53A-C1185EEA421B}"/>
    <hyperlink ref="B38" r:id="rId23" xr:uid="{21195CE6-2E73-412F-9C87-A5AD6CE25CA6}"/>
    <hyperlink ref="B34" r:id="rId24" xr:uid="{2A791336-28E3-4D30-AAFC-D59685AA74D9}"/>
    <hyperlink ref="B35" r:id="rId25" xr:uid="{DA9CEDF8-AA3D-411A-A548-91BDB20FA6DC}"/>
    <hyperlink ref="B36" r:id="rId26" xr:uid="{AC13D020-8D35-42BB-A150-1FD0C9C5AB1D}"/>
    <hyperlink ref="B41" r:id="rId27" xr:uid="{50FA6A72-477D-408C-93BD-C3A5F8639C10}"/>
    <hyperlink ref="B42" r:id="rId28" xr:uid="{67EE5DAC-91FD-4E81-B700-E2F25F4FF4B7}"/>
    <hyperlink ref="B43" r:id="rId29" xr:uid="{7F06EB6F-95AB-4346-B534-ACE07AC97A42}"/>
    <hyperlink ref="B44" r:id="rId30" xr:uid="{BAAC5BC6-69BD-4D8F-A262-EEC5D81A611F}"/>
    <hyperlink ref="B45" r:id="rId31" xr:uid="{3FE2CE5F-234D-4ED9-B5F3-0EA506195F3C}"/>
    <hyperlink ref="B46" r:id="rId32" xr:uid="{5816B884-F10E-4F85-9475-3B4B43E126DE}"/>
    <hyperlink ref="B19" r:id="rId33" xr:uid="{1295DA15-F0D6-413F-8CCF-944BE00421BA}"/>
    <hyperlink ref="B20" r:id="rId34" xr:uid="{9A1D2138-AEA4-4995-BDBC-A1D40730DF9B}"/>
    <hyperlink ref="B39" r:id="rId35" xr:uid="{C31B8C3D-01C3-40CE-8EBB-856B7D5696CD}"/>
    <hyperlink ref="B40" r:id="rId36" xr:uid="{9008134D-D313-49E9-9201-D07449972EEF}"/>
    <hyperlink ref="B10" r:id="rId37" xr:uid="{AC57490D-8DA5-4459-98F0-FBF0D773E106}"/>
    <hyperlink ref="B29" r:id="rId38" xr:uid="{E49BEC1F-8DE7-4808-9A26-26D1F38BCFE3}"/>
    <hyperlink ref="B3" r:id="rId39" xr:uid="{41465050-A368-46C5-A11C-5AFC15E60DDE}"/>
    <hyperlink ref="B8" r:id="rId40" display="Hotel Experience Champion Guide" xr:uid="{79DEC642-6472-4798-B81E-6003684E6902}"/>
    <hyperlink ref="B4" r:id="rId41" display="Managed Hotel - Leaders Guide" xr:uid="{B6B90E60-5227-4A4A-A55D-F63FDDC35038}"/>
    <hyperlink ref="B5" r:id="rId42" xr:uid="{B46404E5-2F71-427D-A168-2C421B67010A}"/>
    <hyperlink ref="B6" r:id="rId43" xr:uid="{2E0BE15C-E673-4831-AB53-1A661E6DB5F5}"/>
    <hyperlink ref="B7" r:id="rId44" xr:uid="{A237C4D8-AACD-4EB7-B3EE-F0BA0C885CB5}"/>
    <hyperlink ref="B37" r:id="rId45" display="IHG53503" xr:uid="{FAC9FCAA-60B6-4299-8BAE-709F32BF63CB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81BEA-AFB5-4CD2-806C-88A4A73D02A4}">
  <sheetPr>
    <tabColor rgb="FF404040"/>
  </sheetPr>
  <dimension ref="A1:X46"/>
  <sheetViews>
    <sheetView zoomScale="85" zoomScaleNormal="85" workbookViewId="0">
      <pane ySplit="1" topLeftCell="A26" activePane="bottomLeft" state="frozen"/>
      <selection activeCell="B1" sqref="B1:B1048576"/>
      <selection pane="bottomLeft" activeCell="B1" sqref="B1:B1048576"/>
    </sheetView>
  </sheetViews>
  <sheetFormatPr defaultRowHeight="30" customHeight="1" x14ac:dyDescent="0.25"/>
  <cols>
    <col min="1" max="1" width="48.7109375" style="76" customWidth="1"/>
    <col min="2" max="2" width="16.7109375" style="78" customWidth="1"/>
    <col min="3" max="5" width="22.7109375" style="9" customWidth="1"/>
    <col min="6" max="6" width="31.7109375" style="78" customWidth="1"/>
    <col min="7" max="19" width="19.5703125" style="28" customWidth="1"/>
    <col min="20" max="24" width="9.140625" style="28"/>
    <col min="25" max="16384" width="9.140625" style="24"/>
  </cols>
  <sheetData>
    <row r="1" spans="1:19" ht="30" customHeight="1" x14ac:dyDescent="0.25">
      <c r="A1" s="33" t="s">
        <v>47</v>
      </c>
      <c r="B1" s="13" t="s">
        <v>50</v>
      </c>
      <c r="C1" s="4" t="s">
        <v>182</v>
      </c>
      <c r="D1" s="4" t="s">
        <v>183</v>
      </c>
      <c r="E1" s="4" t="s">
        <v>184</v>
      </c>
      <c r="F1" s="13" t="s">
        <v>51</v>
      </c>
      <c r="G1" s="13" t="s">
        <v>52</v>
      </c>
      <c r="H1" s="13" t="s">
        <v>53</v>
      </c>
      <c r="I1" s="13" t="s">
        <v>54</v>
      </c>
      <c r="J1" s="13" t="s">
        <v>55</v>
      </c>
      <c r="K1" s="13" t="s">
        <v>56</v>
      </c>
      <c r="L1" s="13" t="s">
        <v>57</v>
      </c>
      <c r="M1" s="13" t="s">
        <v>58</v>
      </c>
      <c r="N1" s="13" t="s">
        <v>59</v>
      </c>
      <c r="O1" s="13" t="s">
        <v>60</v>
      </c>
      <c r="P1" s="13" t="s">
        <v>61</v>
      </c>
      <c r="Q1" s="13" t="s">
        <v>62</v>
      </c>
      <c r="R1" s="13" t="s">
        <v>63</v>
      </c>
      <c r="S1" s="13" t="s">
        <v>64</v>
      </c>
    </row>
    <row r="2" spans="1:19" ht="30" customHeight="1" x14ac:dyDescent="0.25">
      <c r="A2" s="33" t="s">
        <v>159</v>
      </c>
      <c r="B2" s="12" t="s">
        <v>160</v>
      </c>
      <c r="C2" s="4">
        <f>_xlfn.XLOOKUP(B2,Lookups!G:G,Lookups!H:H,"",0,1)</f>
        <v>3</v>
      </c>
      <c r="D2" s="4" t="str">
        <f>_xlfn.XLOOKUP(C2,[1]Sheet2!$A$2:$A$11,[1]Sheet2!$B$2:$B$11,"Not found")</f>
        <v>within 30 days</v>
      </c>
      <c r="E2" s="4"/>
      <c r="F2" s="13" t="s">
        <v>310</v>
      </c>
      <c r="G2" s="13" t="s">
        <v>170</v>
      </c>
      <c r="H2" s="13" t="s">
        <v>170</v>
      </c>
      <c r="I2" s="13" t="s">
        <v>170</v>
      </c>
      <c r="J2" s="13" t="s">
        <v>170</v>
      </c>
      <c r="K2" s="13" t="s">
        <v>170</v>
      </c>
      <c r="L2" s="13" t="s">
        <v>170</v>
      </c>
      <c r="M2" s="13" t="s">
        <v>170</v>
      </c>
      <c r="N2" s="13" t="s">
        <v>170</v>
      </c>
      <c r="O2" s="13" t="s">
        <v>170</v>
      </c>
      <c r="P2" s="13" t="s">
        <v>170</v>
      </c>
      <c r="Q2" s="13" t="s">
        <v>170</v>
      </c>
      <c r="R2" s="13" t="s">
        <v>170</v>
      </c>
      <c r="S2" s="13" t="s">
        <v>170</v>
      </c>
    </row>
    <row r="3" spans="1:19" ht="30" customHeight="1" x14ac:dyDescent="0.25">
      <c r="A3" s="33" t="s">
        <v>292</v>
      </c>
      <c r="B3" s="16" t="s">
        <v>286</v>
      </c>
      <c r="C3" s="4">
        <f>_xlfn.XLOOKUP(B3,Lookups!G:G,Lookups!H:H,"",0,1)</f>
        <v>3</v>
      </c>
      <c r="D3" s="4" t="str">
        <f>_xlfn.XLOOKUP(C3,[1]Sheet2!$A$2:$A$11,[1]Sheet2!$B$2:$B$11,"Not found")</f>
        <v>within 30 days</v>
      </c>
      <c r="E3" s="4"/>
      <c r="F3" s="13" t="s">
        <v>290</v>
      </c>
      <c r="G3" s="13" t="s">
        <v>170</v>
      </c>
      <c r="H3" s="13" t="s">
        <v>170</v>
      </c>
      <c r="I3" s="13" t="s">
        <v>170</v>
      </c>
      <c r="J3" s="13" t="s">
        <v>170</v>
      </c>
      <c r="K3" s="13" t="s">
        <v>170</v>
      </c>
      <c r="L3" s="13" t="s">
        <v>170</v>
      </c>
      <c r="M3" s="13" t="s">
        <v>170</v>
      </c>
      <c r="N3" s="13"/>
      <c r="O3" s="13"/>
      <c r="P3" s="13"/>
      <c r="Q3" s="13"/>
      <c r="R3" s="13" t="s">
        <v>170</v>
      </c>
      <c r="S3" s="13"/>
    </row>
    <row r="4" spans="1:19" ht="30" customHeight="1" x14ac:dyDescent="0.25">
      <c r="A4" s="33" t="s">
        <v>292</v>
      </c>
      <c r="B4" s="16" t="s">
        <v>287</v>
      </c>
      <c r="C4" s="4">
        <f>_xlfn.XLOOKUP(B4,Lookups!G:G,Lookups!H:H,"",0,1)</f>
        <v>3</v>
      </c>
      <c r="D4" s="4" t="str">
        <f>_xlfn.XLOOKUP(C4,[1]Sheet2!$A$2:$A$11,[1]Sheet2!$B$2:$B$11,"Not found")</f>
        <v>within 30 days</v>
      </c>
      <c r="E4" s="4"/>
      <c r="F4" s="13" t="s">
        <v>290</v>
      </c>
      <c r="G4" s="13"/>
      <c r="H4" s="13"/>
      <c r="I4" s="13"/>
      <c r="J4" s="13"/>
      <c r="K4" s="13"/>
      <c r="L4" s="13"/>
      <c r="M4" s="13"/>
      <c r="N4" s="13" t="s">
        <v>170</v>
      </c>
      <c r="O4" s="13" t="s">
        <v>170</v>
      </c>
      <c r="P4" s="13" t="s">
        <v>170</v>
      </c>
      <c r="Q4" s="13" t="s">
        <v>170</v>
      </c>
      <c r="R4" s="13"/>
      <c r="S4" s="13" t="s">
        <v>170</v>
      </c>
    </row>
    <row r="5" spans="1:19" ht="30" customHeight="1" x14ac:dyDescent="0.25">
      <c r="A5" s="33" t="s">
        <v>293</v>
      </c>
      <c r="B5" s="16" t="s">
        <v>288</v>
      </c>
      <c r="C5" s="4">
        <f>_xlfn.XLOOKUP(B5,Lookups!G:G,Lookups!H:H,"",0,1)</f>
        <v>3</v>
      </c>
      <c r="D5" s="4" t="str">
        <f>_xlfn.XLOOKUP(C5,[1]Sheet2!$A$2:$A$11,[1]Sheet2!$B$2:$B$11,"Not found")</f>
        <v>within 30 days</v>
      </c>
      <c r="E5" s="4"/>
      <c r="F5" s="13" t="s">
        <v>291</v>
      </c>
      <c r="G5" s="13" t="s">
        <v>170</v>
      </c>
      <c r="H5" s="13" t="s">
        <v>170</v>
      </c>
      <c r="I5" s="13" t="s">
        <v>170</v>
      </c>
      <c r="J5" s="13" t="s">
        <v>170</v>
      </c>
      <c r="K5" s="13" t="s">
        <v>170</v>
      </c>
      <c r="L5" s="13" t="s">
        <v>170</v>
      </c>
      <c r="M5" s="13" t="s">
        <v>170</v>
      </c>
      <c r="N5" s="13"/>
      <c r="O5" s="13"/>
      <c r="P5" s="13"/>
      <c r="Q5" s="13"/>
      <c r="R5" s="13" t="s">
        <v>170</v>
      </c>
      <c r="S5" s="13"/>
    </row>
    <row r="6" spans="1:19" ht="30" customHeight="1" x14ac:dyDescent="0.25">
      <c r="A6" s="33" t="s">
        <v>293</v>
      </c>
      <c r="B6" s="16" t="s">
        <v>289</v>
      </c>
      <c r="C6" s="4">
        <f>_xlfn.XLOOKUP(B6,Lookups!G:G,Lookups!H:H,"",0,1)</f>
        <v>3</v>
      </c>
      <c r="D6" s="4" t="str">
        <f>_xlfn.XLOOKUP(C6,[1]Sheet2!$A$2:$A$11,[1]Sheet2!$B$2:$B$11,"Not found")</f>
        <v>within 30 days</v>
      </c>
      <c r="E6" s="4"/>
      <c r="F6" s="13" t="s">
        <v>291</v>
      </c>
      <c r="G6" s="13"/>
      <c r="H6" s="13"/>
      <c r="I6" s="13"/>
      <c r="J6" s="13"/>
      <c r="K6" s="13"/>
      <c r="L6" s="13"/>
      <c r="M6" s="13"/>
      <c r="N6" s="13" t="s">
        <v>170</v>
      </c>
      <c r="O6" s="13" t="s">
        <v>170</v>
      </c>
      <c r="P6" s="13" t="s">
        <v>170</v>
      </c>
      <c r="Q6" s="13" t="s">
        <v>170</v>
      </c>
      <c r="R6" s="13"/>
      <c r="S6" s="13" t="s">
        <v>170</v>
      </c>
    </row>
    <row r="7" spans="1:19" ht="30" customHeight="1" x14ac:dyDescent="0.25">
      <c r="A7" s="33" t="s">
        <v>69</v>
      </c>
      <c r="B7" s="16" t="s">
        <v>285</v>
      </c>
      <c r="C7" s="4">
        <v>3</v>
      </c>
      <c r="D7" s="4" t="str">
        <f>_xlfn.XLOOKUP(C7,[1]Sheet2!$A$2:$A$11,[1]Sheet2!$B$2:$B$11,"Not found")</f>
        <v>within 30 days</v>
      </c>
      <c r="E7" s="4"/>
      <c r="F7" s="4" t="s">
        <v>284</v>
      </c>
      <c r="G7" s="13" t="s">
        <v>170</v>
      </c>
      <c r="H7" s="13" t="s">
        <v>169</v>
      </c>
      <c r="I7" s="13" t="s">
        <v>169</v>
      </c>
      <c r="J7" s="13" t="s">
        <v>169</v>
      </c>
      <c r="K7" s="13" t="s">
        <v>169</v>
      </c>
      <c r="L7" s="13" t="s">
        <v>169</v>
      </c>
      <c r="M7" s="13" t="s">
        <v>169</v>
      </c>
      <c r="N7" s="13" t="s">
        <v>169</v>
      </c>
      <c r="O7" s="13" t="s">
        <v>169</v>
      </c>
      <c r="P7" s="13" t="s">
        <v>169</v>
      </c>
      <c r="Q7" s="13" t="s">
        <v>169</v>
      </c>
      <c r="R7" s="13" t="s">
        <v>169</v>
      </c>
      <c r="S7" s="13" t="s">
        <v>169</v>
      </c>
    </row>
    <row r="8" spans="1:19" ht="30" customHeight="1" x14ac:dyDescent="0.25">
      <c r="A8" s="33" t="s">
        <v>70</v>
      </c>
      <c r="B8" s="12" t="s">
        <v>71</v>
      </c>
      <c r="C8" s="4">
        <f>_xlfn.XLOOKUP(B8,Lookups!G:G,Lookups!H:H,"",0,1)</f>
        <v>4</v>
      </c>
      <c r="D8" s="4" t="str">
        <f>_xlfn.XLOOKUP(C8,[1]Sheet2!$A$2:$A$11,[1]Sheet2!$B$2:$B$11,"Not found")</f>
        <v>within 60 days</v>
      </c>
      <c r="E8" s="4"/>
      <c r="F8" s="13" t="str">
        <f>_xlfn.XLOOKUP(B8,'Holiday Inn Express'!B:B,'Holiday Inn Express'!F:F,"",0,1)</f>
        <v>Self-paced Online Learning (1 Hour 45 Minutes).</v>
      </c>
      <c r="G8" s="13" t="s">
        <v>170</v>
      </c>
      <c r="H8" s="13" t="s">
        <v>170</v>
      </c>
      <c r="I8" s="13" t="s">
        <v>170</v>
      </c>
      <c r="J8" s="13" t="s">
        <v>170</v>
      </c>
      <c r="K8" s="13" t="s">
        <v>170</v>
      </c>
      <c r="L8" s="13" t="s">
        <v>170</v>
      </c>
      <c r="M8" s="13" t="s">
        <v>170</v>
      </c>
      <c r="N8" s="13" t="s">
        <v>169</v>
      </c>
      <c r="O8" s="13" t="s">
        <v>169</v>
      </c>
      <c r="P8" s="13" t="s">
        <v>169</v>
      </c>
      <c r="Q8" s="13" t="s">
        <v>169</v>
      </c>
      <c r="R8" s="13" t="s">
        <v>170</v>
      </c>
      <c r="S8" s="13" t="s">
        <v>169</v>
      </c>
    </row>
    <row r="9" spans="1:19" ht="30" customHeight="1" x14ac:dyDescent="0.25">
      <c r="A9" s="33" t="s">
        <v>274</v>
      </c>
      <c r="B9" s="3" t="s">
        <v>274</v>
      </c>
      <c r="C9" s="4">
        <v>10</v>
      </c>
      <c r="D9" s="4" t="str">
        <f>_xlfn.XLOOKUP(C9,[1]Sheet2!$A$2:$A$11,[1]Sheet2!$B$2:$B$11,"Not found")</f>
        <v>Suggested Learning</v>
      </c>
      <c r="E9" s="4"/>
      <c r="F9" s="13" t="str">
        <f>_xlfn.XLOOKUP(B9,'Holiday Inn Express'!B:B,'Holiday Inn Express'!F:F,"",0,1)</f>
        <v>Explore resource and apply accordingly</v>
      </c>
      <c r="G9" s="13" t="s">
        <v>170</v>
      </c>
      <c r="H9" s="13" t="s">
        <v>170</v>
      </c>
      <c r="I9" s="13" t="s">
        <v>170</v>
      </c>
      <c r="J9" s="13" t="s">
        <v>170</v>
      </c>
      <c r="K9" s="13" t="s">
        <v>170</v>
      </c>
      <c r="L9" s="13" t="s">
        <v>170</v>
      </c>
      <c r="M9" s="13" t="s">
        <v>170</v>
      </c>
      <c r="N9" s="13" t="s">
        <v>169</v>
      </c>
      <c r="O9" s="13" t="s">
        <v>169</v>
      </c>
      <c r="P9" s="13" t="s">
        <v>169</v>
      </c>
      <c r="Q9" s="13" t="s">
        <v>169</v>
      </c>
      <c r="R9" s="13" t="s">
        <v>170</v>
      </c>
      <c r="S9" s="13" t="s">
        <v>169</v>
      </c>
    </row>
    <row r="10" spans="1:19" ht="30" customHeight="1" x14ac:dyDescent="0.25">
      <c r="A10" s="33" t="s">
        <v>168</v>
      </c>
      <c r="B10" s="12" t="s">
        <v>72</v>
      </c>
      <c r="C10" s="4">
        <f>_xlfn.XLOOKUP(B10,Lookups!G:G,Lookups!H:H,"",0,1)</f>
        <v>3</v>
      </c>
      <c r="D10" s="4" t="str">
        <f>_xlfn.XLOOKUP(C10,[1]Sheet2!$A$2:$A$11,[1]Sheet2!$B$2:$B$11,"Not found")</f>
        <v>within 30 days</v>
      </c>
      <c r="E10" s="4"/>
      <c r="F10" s="13" t="str">
        <f>_xlfn.XLOOKUP(B10,'Holiday Inn Express'!B:B,'Holiday Inn Express'!F:F,"",0,1)</f>
        <v xml:space="preserve">Self-paced Online Learning (1 Hour). Hotel-led in-person training (On-Job-Training, OJT) is permitted &amp; completions must be tracked in myLearning. </v>
      </c>
      <c r="G10" s="13" t="s">
        <v>170</v>
      </c>
      <c r="H10" s="13" t="s">
        <v>170</v>
      </c>
      <c r="I10" s="13" t="s">
        <v>170</v>
      </c>
      <c r="J10" s="13" t="s">
        <v>170</v>
      </c>
      <c r="K10" s="13" t="s">
        <v>170</v>
      </c>
      <c r="L10" s="13" t="s">
        <v>170</v>
      </c>
      <c r="M10" s="13" t="s">
        <v>170</v>
      </c>
      <c r="N10" s="13" t="s">
        <v>170</v>
      </c>
      <c r="O10" s="13" t="s">
        <v>170</v>
      </c>
      <c r="P10" s="13" t="s">
        <v>170</v>
      </c>
      <c r="Q10" s="13" t="s">
        <v>170</v>
      </c>
      <c r="R10" s="13" t="s">
        <v>170</v>
      </c>
      <c r="S10" s="13" t="s">
        <v>170</v>
      </c>
    </row>
    <row r="11" spans="1:19" ht="30" customHeight="1" x14ac:dyDescent="0.25">
      <c r="A11" s="33" t="s">
        <v>73</v>
      </c>
      <c r="B11" s="17" t="s">
        <v>74</v>
      </c>
      <c r="C11" s="4">
        <f>_xlfn.XLOOKUP(B11,Lookups!G:G,Lookups!H:H,"",0,1)</f>
        <v>3</v>
      </c>
      <c r="D11" s="4" t="str">
        <f>_xlfn.XLOOKUP(C11,[1]Sheet2!$A$2:$A$11,[1]Sheet2!$B$2:$B$11,"Not found")</f>
        <v>within 30 days</v>
      </c>
      <c r="E11" s="4"/>
      <c r="F11" s="13" t="str">
        <f>_xlfn.XLOOKUP(B11,'Holiday Inn Express'!B:B,'Holiday Inn Express'!F:F,"",0,1)</f>
        <v>Self-paced Online Learning (20 Minutes).</v>
      </c>
      <c r="G11" s="13" t="s">
        <v>170</v>
      </c>
      <c r="H11" s="13" t="s">
        <v>170</v>
      </c>
      <c r="I11" s="13" t="s">
        <v>170</v>
      </c>
      <c r="J11" s="13" t="s">
        <v>170</v>
      </c>
      <c r="K11" s="13" t="s">
        <v>170</v>
      </c>
      <c r="L11" s="13" t="s">
        <v>170</v>
      </c>
      <c r="M11" s="13" t="s">
        <v>170</v>
      </c>
      <c r="N11" s="13" t="s">
        <v>170</v>
      </c>
      <c r="O11" s="13" t="s">
        <v>170</v>
      </c>
      <c r="P11" s="13" t="s">
        <v>170</v>
      </c>
      <c r="Q11" s="13" t="s">
        <v>170</v>
      </c>
      <c r="R11" s="13" t="s">
        <v>170</v>
      </c>
      <c r="S11" s="13" t="s">
        <v>170</v>
      </c>
    </row>
    <row r="12" spans="1:19" ht="30" customHeight="1" x14ac:dyDescent="0.25">
      <c r="A12" s="33" t="s">
        <v>75</v>
      </c>
      <c r="B12" s="17" t="s">
        <v>76</v>
      </c>
      <c r="C12" s="4">
        <f>_xlfn.XLOOKUP(B12,Lookups!G:G,Lookups!H:H,"",0,1)</f>
        <v>3</v>
      </c>
      <c r="D12" s="4" t="str">
        <f>_xlfn.XLOOKUP(C12,[1]Sheet2!$A$2:$A$11,[1]Sheet2!$B$2:$B$11,"Not found")</f>
        <v>within 30 days</v>
      </c>
      <c r="E12" s="4"/>
      <c r="F12" s="13" t="str">
        <f>_xlfn.XLOOKUP(B12,'Holiday Inn Express'!B:B,'Holiday Inn Express'!F:F,"",0,1)</f>
        <v>Self-paced Online Learning (20 Minutes).</v>
      </c>
      <c r="G12" s="13" t="s">
        <v>170</v>
      </c>
      <c r="H12" s="13" t="s">
        <v>170</v>
      </c>
      <c r="I12" s="13" t="s">
        <v>170</v>
      </c>
      <c r="J12" s="13" t="s">
        <v>170</v>
      </c>
      <c r="K12" s="13" t="s">
        <v>170</v>
      </c>
      <c r="L12" s="13" t="s">
        <v>170</v>
      </c>
      <c r="M12" s="13" t="s">
        <v>170</v>
      </c>
      <c r="N12" s="13" t="s">
        <v>169</v>
      </c>
      <c r="O12" s="13" t="s">
        <v>169</v>
      </c>
      <c r="P12" s="13" t="s">
        <v>169</v>
      </c>
      <c r="Q12" s="13" t="s">
        <v>169</v>
      </c>
      <c r="R12" s="13" t="s">
        <v>170</v>
      </c>
      <c r="S12" s="13" t="s">
        <v>169</v>
      </c>
    </row>
    <row r="13" spans="1:19" ht="30" customHeight="1" x14ac:dyDescent="0.25">
      <c r="A13" s="33" t="s">
        <v>77</v>
      </c>
      <c r="B13" s="17" t="s">
        <v>78</v>
      </c>
      <c r="C13" s="4">
        <f>_xlfn.XLOOKUP(B13,Lookups!G:G,Lookups!H:H,"",0,1)</f>
        <v>3</v>
      </c>
      <c r="D13" s="4" t="str">
        <f>_xlfn.XLOOKUP(C13,[1]Sheet2!$A$2:$A$11,[1]Sheet2!$B$2:$B$11,"Not found")</f>
        <v>within 30 days</v>
      </c>
      <c r="E13" s="4"/>
      <c r="F13" s="13" t="str">
        <f>_xlfn.XLOOKUP(B13,'Holiday Inn Express'!B:B,'Holiday Inn Express'!F:F,"",0,1)</f>
        <v>Self-paced Online Learning (20 Minutes).</v>
      </c>
      <c r="G13" s="13" t="s">
        <v>170</v>
      </c>
      <c r="H13" s="13" t="s">
        <v>170</v>
      </c>
      <c r="I13" s="13" t="s">
        <v>170</v>
      </c>
      <c r="J13" s="13" t="s">
        <v>170</v>
      </c>
      <c r="K13" s="13" t="s">
        <v>170</v>
      </c>
      <c r="L13" s="13" t="s">
        <v>170</v>
      </c>
      <c r="M13" s="13" t="s">
        <v>170</v>
      </c>
      <c r="N13" s="13" t="s">
        <v>170</v>
      </c>
      <c r="O13" s="13" t="s">
        <v>170</v>
      </c>
      <c r="P13" s="13" t="s">
        <v>170</v>
      </c>
      <c r="Q13" s="13" t="s">
        <v>170</v>
      </c>
      <c r="R13" s="13" t="s">
        <v>170</v>
      </c>
      <c r="S13" s="13" t="s">
        <v>170</v>
      </c>
    </row>
    <row r="14" spans="1:19" ht="30" customHeight="1" x14ac:dyDescent="0.25">
      <c r="A14" s="33" t="s">
        <v>79</v>
      </c>
      <c r="B14" s="17" t="s">
        <v>80</v>
      </c>
      <c r="C14" s="4">
        <f>_xlfn.XLOOKUP(B14,Lookups!G:G,Lookups!H:H,"",0,1)</f>
        <v>3</v>
      </c>
      <c r="D14" s="4" t="str">
        <f>_xlfn.XLOOKUP(C14,[1]Sheet2!$A$2:$A$11,[1]Sheet2!$B$2:$B$11,"Not found")</f>
        <v>within 30 days</v>
      </c>
      <c r="E14" s="4"/>
      <c r="F14" s="13" t="str">
        <f>_xlfn.XLOOKUP(B14,'Holiday Inn Express'!B:B,'Holiday Inn Express'!F:F,"",0,1)</f>
        <v>Self-paced Online Learning (15 Minutes).</v>
      </c>
      <c r="G14" s="13" t="s">
        <v>170</v>
      </c>
      <c r="H14" s="13" t="s">
        <v>170</v>
      </c>
      <c r="I14" s="13" t="s">
        <v>170</v>
      </c>
      <c r="J14" s="13" t="s">
        <v>170</v>
      </c>
      <c r="K14" s="13" t="s">
        <v>170</v>
      </c>
      <c r="L14" s="13" t="s">
        <v>170</v>
      </c>
      <c r="M14" s="13" t="s">
        <v>170</v>
      </c>
      <c r="N14" s="13" t="s">
        <v>170</v>
      </c>
      <c r="O14" s="13" t="s">
        <v>170</v>
      </c>
      <c r="P14" s="13" t="s">
        <v>170</v>
      </c>
      <c r="Q14" s="13" t="s">
        <v>170</v>
      </c>
      <c r="R14" s="13" t="s">
        <v>170</v>
      </c>
      <c r="S14" s="13" t="s">
        <v>170</v>
      </c>
    </row>
    <row r="15" spans="1:19" ht="30" customHeight="1" x14ac:dyDescent="0.25">
      <c r="A15" s="33" t="s">
        <v>81</v>
      </c>
      <c r="B15" s="17" t="s">
        <v>82</v>
      </c>
      <c r="C15" s="4">
        <f>_xlfn.XLOOKUP(B15,Lookups!G:G,Lookups!H:H,"",0,1)</f>
        <v>3</v>
      </c>
      <c r="D15" s="4" t="str">
        <f>_xlfn.XLOOKUP(C15,[1]Sheet2!$A$2:$A$11,[1]Sheet2!$B$2:$B$11,"Not found")</f>
        <v>within 30 days</v>
      </c>
      <c r="E15" s="4"/>
      <c r="F15" s="13" t="str">
        <f>_xlfn.XLOOKUP(B15,'Holiday Inn Express'!B:B,'Holiday Inn Express'!F:F,"",0,1)</f>
        <v>Self-paced Online Learning (20 Minutes).</v>
      </c>
      <c r="G15" s="13" t="s">
        <v>170</v>
      </c>
      <c r="H15" s="13" t="s">
        <v>170</v>
      </c>
      <c r="I15" s="13" t="s">
        <v>170</v>
      </c>
      <c r="J15" s="13" t="s">
        <v>170</v>
      </c>
      <c r="K15" s="13" t="s">
        <v>170</v>
      </c>
      <c r="L15" s="13" t="s">
        <v>170</v>
      </c>
      <c r="M15" s="13" t="s">
        <v>170</v>
      </c>
      <c r="N15" s="13" t="s">
        <v>170</v>
      </c>
      <c r="O15" s="13" t="s">
        <v>170</v>
      </c>
      <c r="P15" s="13" t="s">
        <v>170</v>
      </c>
      <c r="Q15" s="13" t="s">
        <v>170</v>
      </c>
      <c r="R15" s="13" t="s">
        <v>170</v>
      </c>
      <c r="S15" s="13" t="s">
        <v>170</v>
      </c>
    </row>
    <row r="16" spans="1:19" ht="30" customHeight="1" x14ac:dyDescent="0.25">
      <c r="A16" s="33" t="s">
        <v>83</v>
      </c>
      <c r="B16" s="17" t="s">
        <v>84</v>
      </c>
      <c r="C16" s="4">
        <f>_xlfn.XLOOKUP(B16,Lookups!G:G,Lookups!H:H,"",0,1)</f>
        <v>10</v>
      </c>
      <c r="D16" s="4" t="str">
        <f>_xlfn.XLOOKUP(C16,[1]Sheet2!$A$2:$A$11,[1]Sheet2!$B$2:$B$11,"Not found")</f>
        <v>Suggested Learning</v>
      </c>
      <c r="E16" s="4"/>
      <c r="F16" s="13" t="str">
        <f>_xlfn.XLOOKUP(B16,'Holiday Inn Express'!B:B,'Holiday Inn Express'!F:F,"",0,1)</f>
        <v>Self-paced Online Learning.</v>
      </c>
      <c r="G16" s="13" t="s">
        <v>170</v>
      </c>
      <c r="H16" s="13" t="s">
        <v>170</v>
      </c>
      <c r="I16" s="13" t="s">
        <v>170</v>
      </c>
      <c r="J16" s="13" t="s">
        <v>170</v>
      </c>
      <c r="K16" s="13" t="s">
        <v>170</v>
      </c>
      <c r="L16" s="13" t="s">
        <v>170</v>
      </c>
      <c r="M16" s="13" t="s">
        <v>170</v>
      </c>
      <c r="N16" s="13" t="s">
        <v>170</v>
      </c>
      <c r="O16" s="13" t="s">
        <v>169</v>
      </c>
      <c r="P16" s="13" t="s">
        <v>169</v>
      </c>
      <c r="Q16" s="13" t="s">
        <v>169</v>
      </c>
      <c r="R16" s="13" t="s">
        <v>170</v>
      </c>
      <c r="S16" s="13" t="s">
        <v>170</v>
      </c>
    </row>
    <row r="17" spans="1:19" ht="30" customHeight="1" x14ac:dyDescent="0.25">
      <c r="A17" s="33" t="s">
        <v>85</v>
      </c>
      <c r="B17" s="17" t="s">
        <v>86</v>
      </c>
      <c r="C17" s="4">
        <f>_xlfn.XLOOKUP(B17,Lookups!G:G,Lookups!H:H,"",0,1)</f>
        <v>10</v>
      </c>
      <c r="D17" s="4" t="str">
        <f>_xlfn.XLOOKUP(C17,[1]Sheet2!$A$2:$A$11,[1]Sheet2!$B$2:$B$11,"Not found")</f>
        <v>Suggested Learning</v>
      </c>
      <c r="E17" s="4"/>
      <c r="F17" s="13" t="str">
        <f>_xlfn.XLOOKUP(B17,'Holiday Inn Express'!B:B,'Holiday Inn Express'!F:F,"",0,1)</f>
        <v>Self-paced Online Learning.</v>
      </c>
      <c r="G17" s="13" t="s">
        <v>170</v>
      </c>
      <c r="H17" s="13" t="s">
        <v>169</v>
      </c>
      <c r="I17" s="13" t="s">
        <v>169</v>
      </c>
      <c r="J17" s="13" t="s">
        <v>170</v>
      </c>
      <c r="K17" s="13" t="s">
        <v>169</v>
      </c>
      <c r="L17" s="13" t="s">
        <v>169</v>
      </c>
      <c r="M17" s="13" t="s">
        <v>169</v>
      </c>
      <c r="N17" s="13" t="s">
        <v>170</v>
      </c>
      <c r="O17" s="13" t="s">
        <v>169</v>
      </c>
      <c r="P17" s="13" t="s">
        <v>169</v>
      </c>
      <c r="Q17" s="13" t="s">
        <v>169</v>
      </c>
      <c r="R17" s="13" t="s">
        <v>169</v>
      </c>
      <c r="S17" s="13" t="s">
        <v>169</v>
      </c>
    </row>
    <row r="18" spans="1:19" ht="30" customHeight="1" x14ac:dyDescent="0.25">
      <c r="A18" s="33" t="s">
        <v>87</v>
      </c>
      <c r="B18" s="15" t="s">
        <v>88</v>
      </c>
      <c r="C18" s="4">
        <f>_xlfn.XLOOKUP(B18,Lookups!G:G,Lookups!H:H,"",0,1)</f>
        <v>3</v>
      </c>
      <c r="D18" s="4" t="str">
        <f>_xlfn.XLOOKUP(C18,[1]Sheet2!$A$2:$A$11,[1]Sheet2!$B$2:$B$11,"Not found")</f>
        <v>within 30 days</v>
      </c>
      <c r="E18" s="4"/>
      <c r="F18" s="13" t="str">
        <f>_xlfn.XLOOKUP(B18,'Holiday Inn Express'!B:B,'Holiday Inn Express'!F:F,"",0,1)</f>
        <v xml:space="preserve">Hotel-led in-person training (On-Job-Training, OJT) is permitted &amp; completions must be tracked in myLearning. </v>
      </c>
      <c r="G18" s="13" t="s">
        <v>169</v>
      </c>
      <c r="H18" s="13" t="s">
        <v>169</v>
      </c>
      <c r="I18" s="13" t="s">
        <v>169</v>
      </c>
      <c r="J18" s="13" t="s">
        <v>169</v>
      </c>
      <c r="K18" s="13" t="s">
        <v>170</v>
      </c>
      <c r="L18" s="13" t="s">
        <v>169</v>
      </c>
      <c r="M18" s="13" t="s">
        <v>169</v>
      </c>
      <c r="N18" s="13" t="s">
        <v>169</v>
      </c>
      <c r="O18" s="13" t="s">
        <v>170</v>
      </c>
      <c r="P18" s="13" t="s">
        <v>170</v>
      </c>
      <c r="Q18" s="13" t="s">
        <v>169</v>
      </c>
      <c r="R18" s="13" t="s">
        <v>169</v>
      </c>
      <c r="S18" s="13" t="s">
        <v>169</v>
      </c>
    </row>
    <row r="19" spans="1:19" ht="30" customHeight="1" x14ac:dyDescent="0.25">
      <c r="A19" s="33" t="s">
        <v>89</v>
      </c>
      <c r="B19" s="16" t="s">
        <v>90</v>
      </c>
      <c r="C19" s="4">
        <f>_xlfn.XLOOKUP(B19,Lookups!G:G,Lookups!H:H,"",0,1)</f>
        <v>3</v>
      </c>
      <c r="D19" s="4" t="str">
        <f>_xlfn.XLOOKUP(C19,[1]Sheet2!$A$2:$A$11,[1]Sheet2!$B$2:$B$11,"Not found")</f>
        <v>within 30 days</v>
      </c>
      <c r="E19" s="4"/>
      <c r="F19" s="13" t="str">
        <f>_xlfn.XLOOKUP(B19,'Holiday Inn Express'!B:B,'Holiday Inn Express'!F:F,"",0,1)</f>
        <v xml:space="preserve">Self-paced Online Learning (20 Minutes). Hotel-led in-person training (On-Job-Training, OJT) is permitted &amp; completions must be tracked in myLearning. </v>
      </c>
      <c r="G19" s="13" t="s">
        <v>170</v>
      </c>
      <c r="H19" s="13" t="s">
        <v>170</v>
      </c>
      <c r="I19" s="13" t="s">
        <v>170</v>
      </c>
      <c r="J19" s="13" t="s">
        <v>170</v>
      </c>
      <c r="K19" s="13" t="s">
        <v>169</v>
      </c>
      <c r="L19" s="13" t="s">
        <v>170</v>
      </c>
      <c r="M19" s="13" t="s">
        <v>170</v>
      </c>
      <c r="N19" s="13" t="s">
        <v>170</v>
      </c>
      <c r="O19" s="13" t="s">
        <v>169</v>
      </c>
      <c r="P19" s="13" t="s">
        <v>169</v>
      </c>
      <c r="Q19" s="13" t="s">
        <v>170</v>
      </c>
      <c r="R19" s="13" t="s">
        <v>170</v>
      </c>
      <c r="S19" s="13" t="s">
        <v>170</v>
      </c>
    </row>
    <row r="20" spans="1:19" ht="30" customHeight="1" x14ac:dyDescent="0.25">
      <c r="A20" s="33" t="s">
        <v>91</v>
      </c>
      <c r="B20" s="17" t="s">
        <v>92</v>
      </c>
      <c r="C20" s="4">
        <f>_xlfn.XLOOKUP(B20,Lookups!G:G,Lookups!H:H,"",0,1)</f>
        <v>10</v>
      </c>
      <c r="D20" s="4" t="str">
        <f>_xlfn.XLOOKUP(C20,[1]Sheet2!$A$2:$A$11,[1]Sheet2!$B$2:$B$11,"Not found")</f>
        <v>Suggested Learning</v>
      </c>
      <c r="E20" s="4"/>
      <c r="F20" s="13" t="str">
        <f>_xlfn.XLOOKUP(B20,'Holiday Inn Express'!B:B,'Holiday Inn Express'!F:F,"",0,1)</f>
        <v>Self-paced Online Learning.</v>
      </c>
      <c r="G20" s="13" t="s">
        <v>170</v>
      </c>
      <c r="H20" s="13" t="s">
        <v>170</v>
      </c>
      <c r="I20" s="13" t="s">
        <v>170</v>
      </c>
      <c r="J20" s="13" t="s">
        <v>170</v>
      </c>
      <c r="K20" s="13" t="s">
        <v>169</v>
      </c>
      <c r="L20" s="13" t="s">
        <v>169</v>
      </c>
      <c r="M20" s="13" t="s">
        <v>169</v>
      </c>
      <c r="N20" s="13" t="s">
        <v>169</v>
      </c>
      <c r="O20" s="13" t="s">
        <v>169</v>
      </c>
      <c r="P20" s="13" t="s">
        <v>169</v>
      </c>
      <c r="Q20" s="13" t="s">
        <v>169</v>
      </c>
      <c r="R20" s="13" t="s">
        <v>169</v>
      </c>
      <c r="S20" s="13" t="s">
        <v>169</v>
      </c>
    </row>
    <row r="21" spans="1:19" ht="30" customHeight="1" x14ac:dyDescent="0.25">
      <c r="A21" s="33" t="s">
        <v>93</v>
      </c>
      <c r="B21" s="17" t="s">
        <v>94</v>
      </c>
      <c r="C21" s="4">
        <f>_xlfn.XLOOKUP(B21,Lookups!G:G,Lookups!H:H,"",0,1)</f>
        <v>10</v>
      </c>
      <c r="D21" s="4" t="str">
        <f>_xlfn.XLOOKUP(C21,[1]Sheet2!$A$2:$A$11,[1]Sheet2!$B$2:$B$11,"Not found")</f>
        <v>Suggested Learning</v>
      </c>
      <c r="E21" s="4"/>
      <c r="F21" s="13" t="str">
        <f>_xlfn.XLOOKUP(B21,'Holiday Inn Express'!B:B,'Holiday Inn Express'!F:F,"",0,1)</f>
        <v>Self-paced Online Learning.</v>
      </c>
      <c r="G21" s="13" t="s">
        <v>170</v>
      </c>
      <c r="H21" s="13" t="s">
        <v>169</v>
      </c>
      <c r="I21" s="13" t="s">
        <v>169</v>
      </c>
      <c r="J21" s="13" t="s">
        <v>169</v>
      </c>
      <c r="K21" s="13" t="s">
        <v>169</v>
      </c>
      <c r="L21" s="13" t="s">
        <v>169</v>
      </c>
      <c r="M21" s="13" t="s">
        <v>169</v>
      </c>
      <c r="N21" s="13" t="s">
        <v>169</v>
      </c>
      <c r="O21" s="13" t="s">
        <v>169</v>
      </c>
      <c r="P21" s="13" t="s">
        <v>169</v>
      </c>
      <c r="Q21" s="13" t="s">
        <v>169</v>
      </c>
      <c r="R21" s="13" t="s">
        <v>169</v>
      </c>
      <c r="S21" s="13" t="s">
        <v>169</v>
      </c>
    </row>
    <row r="22" spans="1:19" ht="30" customHeight="1" x14ac:dyDescent="0.25">
      <c r="A22" s="33" t="s">
        <v>95</v>
      </c>
      <c r="B22" s="17" t="s">
        <v>96</v>
      </c>
      <c r="C22" s="4">
        <f>_xlfn.XLOOKUP(B22,Lookups!G:G,Lookups!H:H,"",0,1)</f>
        <v>10</v>
      </c>
      <c r="D22" s="4" t="str">
        <f>_xlfn.XLOOKUP(C22,[1]Sheet2!$A$2:$A$11,[1]Sheet2!$B$2:$B$11,"Not found")</f>
        <v>Suggested Learning</v>
      </c>
      <c r="E22" s="4"/>
      <c r="F22" s="13" t="str">
        <f>_xlfn.XLOOKUP(B22,'Holiday Inn Express'!B:B,'Holiday Inn Express'!F:F,"",0,1)</f>
        <v>Self-paced Online Learning.</v>
      </c>
      <c r="G22" s="13" t="s">
        <v>170</v>
      </c>
      <c r="H22" s="13" t="s">
        <v>169</v>
      </c>
      <c r="I22" s="13" t="s">
        <v>169</v>
      </c>
      <c r="J22" s="13" t="s">
        <v>169</v>
      </c>
      <c r="K22" s="13" t="s">
        <v>169</v>
      </c>
      <c r="L22" s="13" t="s">
        <v>169</v>
      </c>
      <c r="M22" s="13" t="s">
        <v>169</v>
      </c>
      <c r="N22" s="13" t="s">
        <v>169</v>
      </c>
      <c r="O22" s="13" t="s">
        <v>169</v>
      </c>
      <c r="P22" s="13" t="s">
        <v>169</v>
      </c>
      <c r="Q22" s="13" t="s">
        <v>169</v>
      </c>
      <c r="R22" s="13" t="s">
        <v>169</v>
      </c>
      <c r="S22" s="13" t="s">
        <v>169</v>
      </c>
    </row>
    <row r="23" spans="1:19" ht="30" customHeight="1" x14ac:dyDescent="0.25">
      <c r="A23" s="33" t="s">
        <v>97</v>
      </c>
      <c r="B23" s="17" t="s">
        <v>98</v>
      </c>
      <c r="C23" s="4">
        <f>_xlfn.XLOOKUP(B23,Lookups!G:G,Lookups!H:H,"",0,1)</f>
        <v>10</v>
      </c>
      <c r="D23" s="4" t="str">
        <f>_xlfn.XLOOKUP(C23,[1]Sheet2!$A$2:$A$11,[1]Sheet2!$B$2:$B$11,"Not found")</f>
        <v>Suggested Learning</v>
      </c>
      <c r="E23" s="4"/>
      <c r="F23" s="13" t="str">
        <f>_xlfn.XLOOKUP(B23,'Holiday Inn Express'!B:B,'Holiday Inn Express'!F:F,"",0,1)</f>
        <v>Self-paced Online Learning.</v>
      </c>
      <c r="G23" s="13" t="s">
        <v>170</v>
      </c>
      <c r="H23" s="13" t="s">
        <v>169</v>
      </c>
      <c r="I23" s="13" t="s">
        <v>169</v>
      </c>
      <c r="J23" s="13" t="s">
        <v>169</v>
      </c>
      <c r="K23" s="13" t="s">
        <v>169</v>
      </c>
      <c r="L23" s="13" t="s">
        <v>169</v>
      </c>
      <c r="M23" s="13" t="s">
        <v>169</v>
      </c>
      <c r="N23" s="13" t="s">
        <v>169</v>
      </c>
      <c r="O23" s="13" t="s">
        <v>169</v>
      </c>
      <c r="P23" s="13" t="s">
        <v>169</v>
      </c>
      <c r="Q23" s="13" t="s">
        <v>169</v>
      </c>
      <c r="R23" s="13" t="s">
        <v>169</v>
      </c>
      <c r="S23" s="13" t="s">
        <v>169</v>
      </c>
    </row>
    <row r="24" spans="1:19" ht="30" customHeight="1" x14ac:dyDescent="0.25">
      <c r="A24" s="33" t="s">
        <v>99</v>
      </c>
      <c r="B24" s="17" t="s">
        <v>100</v>
      </c>
      <c r="C24" s="4">
        <f>_xlfn.XLOOKUP(B24,Lookups!G:G,Lookups!H:H,"",0,1)</f>
        <v>10</v>
      </c>
      <c r="D24" s="4" t="str">
        <f>_xlfn.XLOOKUP(C24,[1]Sheet2!$A$2:$A$11,[1]Sheet2!$B$2:$B$11,"Not found")</f>
        <v>Suggested Learning</v>
      </c>
      <c r="E24" s="4"/>
      <c r="F24" s="13" t="str">
        <f>_xlfn.XLOOKUP(B24,'Holiday Inn Express'!B:B,'Holiday Inn Express'!F:F,"",0,1)</f>
        <v>Self-paced Online Learning.</v>
      </c>
      <c r="G24" s="13" t="s">
        <v>170</v>
      </c>
      <c r="H24" s="13" t="s">
        <v>169</v>
      </c>
      <c r="I24" s="13" t="s">
        <v>169</v>
      </c>
      <c r="J24" s="13" t="s">
        <v>169</v>
      </c>
      <c r="K24" s="13" t="s">
        <v>169</v>
      </c>
      <c r="L24" s="13" t="s">
        <v>169</v>
      </c>
      <c r="M24" s="13" t="s">
        <v>169</v>
      </c>
      <c r="N24" s="13" t="s">
        <v>169</v>
      </c>
      <c r="O24" s="13" t="s">
        <v>169</v>
      </c>
      <c r="P24" s="13" t="s">
        <v>169</v>
      </c>
      <c r="Q24" s="13" t="s">
        <v>169</v>
      </c>
      <c r="R24" s="13" t="s">
        <v>169</v>
      </c>
      <c r="S24" s="13" t="s">
        <v>169</v>
      </c>
    </row>
    <row r="25" spans="1:19" ht="30" customHeight="1" x14ac:dyDescent="0.25">
      <c r="A25" s="33" t="s">
        <v>101</v>
      </c>
      <c r="B25" s="17" t="s">
        <v>102</v>
      </c>
      <c r="C25" s="4">
        <f>_xlfn.XLOOKUP(B25,Lookups!G:G,Lookups!H:H,"",0,1)</f>
        <v>10</v>
      </c>
      <c r="D25" s="4" t="str">
        <f>_xlfn.XLOOKUP(C25,[1]Sheet2!$A$2:$A$11,[1]Sheet2!$B$2:$B$11,"Not found")</f>
        <v>Suggested Learning</v>
      </c>
      <c r="E25" s="4"/>
      <c r="F25" s="13" t="str">
        <f>_xlfn.XLOOKUP(B25,'Holiday Inn Express'!B:B,'Holiday Inn Express'!F:F,"",0,1)</f>
        <v>Self-paced Online Learning.</v>
      </c>
      <c r="G25" s="13" t="s">
        <v>170</v>
      </c>
      <c r="H25" s="13" t="s">
        <v>170</v>
      </c>
      <c r="I25" s="13" t="s">
        <v>170</v>
      </c>
      <c r="J25" s="13" t="s">
        <v>170</v>
      </c>
      <c r="K25" s="13" t="s">
        <v>169</v>
      </c>
      <c r="L25" s="13" t="s">
        <v>169</v>
      </c>
      <c r="M25" s="13" t="s">
        <v>169</v>
      </c>
      <c r="N25" s="13" t="s">
        <v>169</v>
      </c>
      <c r="O25" s="13" t="s">
        <v>169</v>
      </c>
      <c r="P25" s="13" t="s">
        <v>169</v>
      </c>
      <c r="Q25" s="13" t="s">
        <v>169</v>
      </c>
      <c r="R25" s="13" t="s">
        <v>169</v>
      </c>
      <c r="S25" s="13" t="s">
        <v>169</v>
      </c>
    </row>
    <row r="26" spans="1:19" ht="30" customHeight="1" x14ac:dyDescent="0.25">
      <c r="A26" s="33" t="s">
        <v>103</v>
      </c>
      <c r="B26" s="17" t="s">
        <v>104</v>
      </c>
      <c r="C26" s="4">
        <f>_xlfn.XLOOKUP(B26,Lookups!G:G,Lookups!H:H,"",0,1)</f>
        <v>10</v>
      </c>
      <c r="D26" s="4" t="str">
        <f>_xlfn.XLOOKUP(C26,[1]Sheet2!$A$2:$A$11,[1]Sheet2!$B$2:$B$11,"Not found")</f>
        <v>Suggested Learning</v>
      </c>
      <c r="E26" s="4"/>
      <c r="F26" s="13" t="str">
        <f>_xlfn.XLOOKUP(B26,'Holiday Inn Express'!B:B,'Holiday Inn Express'!F:F,"",0,1)</f>
        <v>Self-paced Online Learning (5 Minutes).</v>
      </c>
      <c r="G26" s="13" t="s">
        <v>170</v>
      </c>
      <c r="H26" s="13" t="s">
        <v>170</v>
      </c>
      <c r="I26" s="13" t="s">
        <v>170</v>
      </c>
      <c r="J26" s="13" t="s">
        <v>170</v>
      </c>
      <c r="K26" s="13" t="s">
        <v>169</v>
      </c>
      <c r="L26" s="13" t="s">
        <v>169</v>
      </c>
      <c r="M26" s="13" t="s">
        <v>169</v>
      </c>
      <c r="N26" s="13" t="s">
        <v>169</v>
      </c>
      <c r="O26" s="13" t="s">
        <v>169</v>
      </c>
      <c r="P26" s="13" t="s">
        <v>169</v>
      </c>
      <c r="Q26" s="13" t="s">
        <v>169</v>
      </c>
      <c r="R26" s="13" t="s">
        <v>169</v>
      </c>
      <c r="S26" s="13" t="s">
        <v>169</v>
      </c>
    </row>
    <row r="27" spans="1:19" ht="30" customHeight="1" x14ac:dyDescent="0.25">
      <c r="A27" s="33" t="s">
        <v>105</v>
      </c>
      <c r="B27" s="17" t="s">
        <v>106</v>
      </c>
      <c r="C27" s="4">
        <f>_xlfn.XLOOKUP(B27,Lookups!G:G,Lookups!H:H,"",0,1)</f>
        <v>10</v>
      </c>
      <c r="D27" s="4" t="str">
        <f>_xlfn.XLOOKUP(C27,[1]Sheet2!$A$2:$A$11,[1]Sheet2!$B$2:$B$11,"Not found")</f>
        <v>Suggested Learning</v>
      </c>
      <c r="E27" s="4"/>
      <c r="F27" s="13" t="str">
        <f>_xlfn.XLOOKUP(B27,'Holiday Inn Express'!B:B,'Holiday Inn Express'!F:F,"",0,1)</f>
        <v>Self-paced Online Learning (25 Minutes).</v>
      </c>
      <c r="G27" s="13" t="s">
        <v>170</v>
      </c>
      <c r="H27" s="13" t="s">
        <v>170</v>
      </c>
      <c r="I27" s="13" t="s">
        <v>169</v>
      </c>
      <c r="J27" s="13" t="s">
        <v>169</v>
      </c>
      <c r="K27" s="13" t="s">
        <v>169</v>
      </c>
      <c r="L27" s="13" t="s">
        <v>169</v>
      </c>
      <c r="M27" s="13" t="s">
        <v>169</v>
      </c>
      <c r="N27" s="13" t="s">
        <v>169</v>
      </c>
      <c r="O27" s="13" t="s">
        <v>169</v>
      </c>
      <c r="P27" s="13" t="s">
        <v>169</v>
      </c>
      <c r="Q27" s="13" t="s">
        <v>169</v>
      </c>
      <c r="R27" s="13" t="s">
        <v>169</v>
      </c>
      <c r="S27" s="13" t="s">
        <v>169</v>
      </c>
    </row>
    <row r="28" spans="1:19" ht="30" customHeight="1" x14ac:dyDescent="0.25">
      <c r="A28" s="49" t="s">
        <v>250</v>
      </c>
      <c r="B28" s="32" t="s">
        <v>251</v>
      </c>
      <c r="C28" s="4">
        <v>5</v>
      </c>
      <c r="D28" s="4" t="s">
        <v>176</v>
      </c>
      <c r="E28" s="4"/>
      <c r="F28" s="13" t="str">
        <f>_xlfn.XLOOKUP(B28,'Holiday Inn Express'!B:B,'Holiday Inn Express'!F:F,"",0,1)</f>
        <v>Self-paced Online Learning (1 Hour 30 Minutes).</v>
      </c>
      <c r="G28" s="13" t="s">
        <v>170</v>
      </c>
      <c r="H28" s="13" t="s">
        <v>170</v>
      </c>
      <c r="I28" s="13" t="s">
        <v>169</v>
      </c>
      <c r="J28" s="13" t="s">
        <v>169</v>
      </c>
      <c r="K28" s="13" t="s">
        <v>169</v>
      </c>
      <c r="L28" s="13" t="s">
        <v>169</v>
      </c>
      <c r="M28" s="13" t="s">
        <v>169</v>
      </c>
      <c r="N28" s="13" t="s">
        <v>169</v>
      </c>
      <c r="O28" s="13" t="s">
        <v>169</v>
      </c>
      <c r="P28" s="13" t="s">
        <v>169</v>
      </c>
      <c r="Q28" s="13" t="s">
        <v>169</v>
      </c>
      <c r="R28" s="13" t="s">
        <v>169</v>
      </c>
      <c r="S28" s="13" t="s">
        <v>169</v>
      </c>
    </row>
    <row r="29" spans="1:19" ht="30" customHeight="1" x14ac:dyDescent="0.25">
      <c r="A29" s="33" t="s">
        <v>107</v>
      </c>
      <c r="B29" s="17" t="s">
        <v>108</v>
      </c>
      <c r="C29" s="4">
        <f>_xlfn.XLOOKUP(B29,Lookups!G:G,Lookups!H:H,"",0,1)</f>
        <v>10</v>
      </c>
      <c r="D29" s="4" t="str">
        <f>_xlfn.XLOOKUP(C29,[1]Sheet2!$A$2:$A$11,[1]Sheet2!$B$2:$B$11,"Not found")</f>
        <v>Suggested Learning</v>
      </c>
      <c r="E29" s="4"/>
      <c r="F29" s="13" t="str">
        <f>_xlfn.XLOOKUP(B29,'Holiday Inn Express'!B:B,'Holiday Inn Express'!F:F,"",0,1)</f>
        <v>Self-paced Online Learning.</v>
      </c>
      <c r="G29" s="13" t="s">
        <v>170</v>
      </c>
      <c r="H29" s="13" t="s">
        <v>170</v>
      </c>
      <c r="I29" s="13" t="s">
        <v>169</v>
      </c>
      <c r="J29" s="13" t="s">
        <v>169</v>
      </c>
      <c r="K29" s="13" t="s">
        <v>169</v>
      </c>
      <c r="L29" s="13" t="s">
        <v>169</v>
      </c>
      <c r="M29" s="13" t="s">
        <v>169</v>
      </c>
      <c r="N29" s="13" t="s">
        <v>169</v>
      </c>
      <c r="O29" s="13" t="s">
        <v>169</v>
      </c>
      <c r="P29" s="13" t="s">
        <v>169</v>
      </c>
      <c r="Q29" s="13" t="s">
        <v>169</v>
      </c>
      <c r="R29" s="13" t="s">
        <v>169</v>
      </c>
      <c r="S29" s="13" t="s">
        <v>169</v>
      </c>
    </row>
    <row r="30" spans="1:19" ht="30" customHeight="1" x14ac:dyDescent="0.25">
      <c r="A30" s="33" t="s">
        <v>109</v>
      </c>
      <c r="B30" s="12" t="s">
        <v>110</v>
      </c>
      <c r="C30" s="4">
        <f>_xlfn.XLOOKUP(B30,Lookups!G:G,Lookups!H:H,"",0,1)</f>
        <v>6</v>
      </c>
      <c r="D30" s="4" t="str">
        <f>_xlfn.XLOOKUP(C30,[1]Sheet2!$A$2:$A$11,[1]Sheet2!$B$2:$B$11,"Not found")</f>
        <v>within 120 days</v>
      </c>
      <c r="E30" s="4"/>
      <c r="F30" s="13" t="str">
        <f>_xlfn.XLOOKUP(B30,'Holiday Inn Express'!B:B,'Holiday Inn Express'!F:F,"",0,1)</f>
        <v>In-person Instructor Led Course (see available dates &amp; times by clicking the link below). Prerequisite:  Must Complete Sales Learning Pathway</v>
      </c>
      <c r="G30" s="13" t="s">
        <v>170</v>
      </c>
      <c r="H30" s="13" t="s">
        <v>170</v>
      </c>
      <c r="I30" s="13" t="s">
        <v>169</v>
      </c>
      <c r="J30" s="13" t="s">
        <v>169</v>
      </c>
      <c r="K30" s="13" t="s">
        <v>169</v>
      </c>
      <c r="L30" s="13" t="s">
        <v>169</v>
      </c>
      <c r="M30" s="13" t="s">
        <v>169</v>
      </c>
      <c r="N30" s="13" t="s">
        <v>169</v>
      </c>
      <c r="O30" s="13" t="s">
        <v>169</v>
      </c>
      <c r="P30" s="13" t="s">
        <v>169</v>
      </c>
      <c r="Q30" s="13" t="s">
        <v>169</v>
      </c>
      <c r="R30" s="13" t="s">
        <v>169</v>
      </c>
      <c r="S30" s="13" t="s">
        <v>169</v>
      </c>
    </row>
    <row r="31" spans="1:19" ht="30" customHeight="1" x14ac:dyDescent="0.25">
      <c r="A31" s="33" t="s">
        <v>111</v>
      </c>
      <c r="B31" s="17" t="s">
        <v>112</v>
      </c>
      <c r="C31" s="4">
        <f>_xlfn.XLOOKUP(B31,Lookups!G:G,Lookups!H:H,"",0,1)</f>
        <v>10</v>
      </c>
      <c r="D31" s="4" t="str">
        <f>_xlfn.XLOOKUP(C31,[1]Sheet2!$A$2:$A$11,[1]Sheet2!$B$2:$B$11,"Not found")</f>
        <v>Suggested Learning</v>
      </c>
      <c r="E31" s="4"/>
      <c r="F31" s="13" t="str">
        <f>_xlfn.XLOOKUP(B31,'Holiday Inn Express'!B:B,'Holiday Inn Express'!F:F,"",0,1)</f>
        <v>Self-paced Online Learning.</v>
      </c>
      <c r="G31" s="13" t="s">
        <v>170</v>
      </c>
      <c r="H31" s="13" t="s">
        <v>169</v>
      </c>
      <c r="I31" s="13" t="s">
        <v>170</v>
      </c>
      <c r="J31" s="13" t="s">
        <v>169</v>
      </c>
      <c r="K31" s="13" t="s">
        <v>169</v>
      </c>
      <c r="L31" s="13" t="s">
        <v>169</v>
      </c>
      <c r="M31" s="13" t="s">
        <v>169</v>
      </c>
      <c r="N31" s="13" t="s">
        <v>169</v>
      </c>
      <c r="O31" s="13" t="s">
        <v>169</v>
      </c>
      <c r="P31" s="13" t="s">
        <v>169</v>
      </c>
      <c r="Q31" s="13" t="s">
        <v>169</v>
      </c>
      <c r="R31" s="13" t="s">
        <v>169</v>
      </c>
      <c r="S31" s="13" t="s">
        <v>169</v>
      </c>
    </row>
    <row r="32" spans="1:19" ht="30" customHeight="1" x14ac:dyDescent="0.25">
      <c r="A32" s="33" t="s">
        <v>113</v>
      </c>
      <c r="B32" s="17" t="s">
        <v>114</v>
      </c>
      <c r="C32" s="4">
        <f>_xlfn.XLOOKUP(B32,Lookups!G:G,Lookups!H:H,"",0,1)</f>
        <v>10</v>
      </c>
      <c r="D32" s="4" t="str">
        <f>_xlfn.XLOOKUP(C32,[1]Sheet2!$A$2:$A$11,[1]Sheet2!$B$2:$B$11,"Not found")</f>
        <v>Suggested Learning</v>
      </c>
      <c r="E32" s="4"/>
      <c r="F32" s="13" t="str">
        <f>_xlfn.XLOOKUP(B32,'Holiday Inn Express'!B:B,'Holiday Inn Express'!F:F,"",0,1)</f>
        <v>Self-paced Online Learning.</v>
      </c>
      <c r="G32" s="13" t="s">
        <v>170</v>
      </c>
      <c r="H32" s="13" t="s">
        <v>169</v>
      </c>
      <c r="I32" s="13" t="s">
        <v>170</v>
      </c>
      <c r="J32" s="13" t="s">
        <v>169</v>
      </c>
      <c r="K32" s="13" t="s">
        <v>169</v>
      </c>
      <c r="L32" s="13" t="s">
        <v>169</v>
      </c>
      <c r="M32" s="13" t="s">
        <v>169</v>
      </c>
      <c r="N32" s="13" t="s">
        <v>169</v>
      </c>
      <c r="O32" s="13" t="s">
        <v>169</v>
      </c>
      <c r="P32" s="13" t="s">
        <v>169</v>
      </c>
      <c r="Q32" s="13" t="s">
        <v>169</v>
      </c>
      <c r="R32" s="13" t="s">
        <v>169</v>
      </c>
      <c r="S32" s="13" t="s">
        <v>169</v>
      </c>
    </row>
    <row r="33" spans="1:19" ht="30" customHeight="1" x14ac:dyDescent="0.25">
      <c r="A33" s="33" t="s">
        <v>115</v>
      </c>
      <c r="B33" s="17" t="s">
        <v>116</v>
      </c>
      <c r="C33" s="4">
        <f>_xlfn.XLOOKUP(B33,Lookups!G:G,Lookups!H:H,"",0,1)</f>
        <v>10</v>
      </c>
      <c r="D33" s="4" t="str">
        <f>_xlfn.XLOOKUP(C33,[1]Sheet2!$A$2:$A$11,[1]Sheet2!$B$2:$B$11,"Not found")</f>
        <v>Suggested Learning</v>
      </c>
      <c r="E33" s="4"/>
      <c r="F33" s="13" t="str">
        <f>_xlfn.XLOOKUP(B33,'Holiday Inn Express'!B:B,'Holiday Inn Express'!F:F,"",0,1)</f>
        <v>Self-paced Online Learning.</v>
      </c>
      <c r="G33" s="13" t="s">
        <v>170</v>
      </c>
      <c r="H33" s="13" t="s">
        <v>169</v>
      </c>
      <c r="I33" s="13" t="s">
        <v>170</v>
      </c>
      <c r="J33" s="13" t="s">
        <v>169</v>
      </c>
      <c r="K33" s="13" t="s">
        <v>169</v>
      </c>
      <c r="L33" s="13" t="s">
        <v>169</v>
      </c>
      <c r="M33" s="13" t="s">
        <v>169</v>
      </c>
      <c r="N33" s="13" t="s">
        <v>169</v>
      </c>
      <c r="O33" s="13" t="s">
        <v>169</v>
      </c>
      <c r="P33" s="13" t="s">
        <v>169</v>
      </c>
      <c r="Q33" s="13" t="s">
        <v>169</v>
      </c>
      <c r="R33" s="13" t="s">
        <v>169</v>
      </c>
      <c r="S33" s="13" t="s">
        <v>169</v>
      </c>
    </row>
    <row r="34" spans="1:19" ht="30" customHeight="1" x14ac:dyDescent="0.25">
      <c r="A34" s="33" t="s">
        <v>117</v>
      </c>
      <c r="B34" s="17" t="s">
        <v>118</v>
      </c>
      <c r="C34" s="4">
        <f>_xlfn.XLOOKUP(B34,Lookups!G:G,Lookups!H:H,"",0,1)</f>
        <v>10</v>
      </c>
      <c r="D34" s="4" t="str">
        <f>_xlfn.XLOOKUP(C34,[1]Sheet2!$A$2:$A$11,[1]Sheet2!$B$2:$B$11,"Not found")</f>
        <v>Suggested Learning</v>
      </c>
      <c r="E34" s="4"/>
      <c r="F34" s="13" t="str">
        <f>_xlfn.XLOOKUP(B34,'Holiday Inn Express'!B:B,'Holiday Inn Express'!F:F,"",0,1)</f>
        <v>Self-paced Online Learning.</v>
      </c>
      <c r="G34" s="13" t="s">
        <v>170</v>
      </c>
      <c r="H34" s="13" t="s">
        <v>169</v>
      </c>
      <c r="I34" s="13" t="s">
        <v>170</v>
      </c>
      <c r="J34" s="13" t="s">
        <v>169</v>
      </c>
      <c r="K34" s="13" t="s">
        <v>169</v>
      </c>
      <c r="L34" s="13" t="s">
        <v>169</v>
      </c>
      <c r="M34" s="13" t="s">
        <v>169</v>
      </c>
      <c r="N34" s="13" t="s">
        <v>169</v>
      </c>
      <c r="O34" s="13" t="s">
        <v>169</v>
      </c>
      <c r="P34" s="13" t="s">
        <v>169</v>
      </c>
      <c r="Q34" s="13" t="s">
        <v>169</v>
      </c>
      <c r="R34" s="13" t="s">
        <v>169</v>
      </c>
      <c r="S34" s="13" t="s">
        <v>169</v>
      </c>
    </row>
    <row r="35" spans="1:19" ht="30" customHeight="1" x14ac:dyDescent="0.25">
      <c r="A35" s="33" t="s">
        <v>119</v>
      </c>
      <c r="B35" s="17" t="s">
        <v>120</v>
      </c>
      <c r="C35" s="4">
        <f>_xlfn.XLOOKUP(B35,Lookups!G:G,Lookups!H:H,"",0,1)</f>
        <v>10</v>
      </c>
      <c r="D35" s="4" t="str">
        <f>_xlfn.XLOOKUP(C35,[1]Sheet2!$A$2:$A$11,[1]Sheet2!$B$2:$B$11,"Not found")</f>
        <v>Suggested Learning</v>
      </c>
      <c r="E35" s="4"/>
      <c r="F35" s="13" t="str">
        <f>_xlfn.XLOOKUP(B35,'Holiday Inn Express'!B:B,'Holiday Inn Express'!F:F,"",0,1)</f>
        <v>Self-paced Online Learning.</v>
      </c>
      <c r="G35" s="13" t="s">
        <v>170</v>
      </c>
      <c r="H35" s="13" t="s">
        <v>169</v>
      </c>
      <c r="I35" s="13" t="s">
        <v>170</v>
      </c>
      <c r="J35" s="13" t="s">
        <v>169</v>
      </c>
      <c r="K35" s="13" t="s">
        <v>169</v>
      </c>
      <c r="L35" s="13" t="s">
        <v>169</v>
      </c>
      <c r="M35" s="13" t="s">
        <v>169</v>
      </c>
      <c r="N35" s="13" t="s">
        <v>169</v>
      </c>
      <c r="O35" s="13" t="s">
        <v>169</v>
      </c>
      <c r="P35" s="13" t="s">
        <v>169</v>
      </c>
      <c r="Q35" s="13" t="s">
        <v>169</v>
      </c>
      <c r="R35" s="13" t="s">
        <v>169</v>
      </c>
      <c r="S35" s="13" t="s">
        <v>169</v>
      </c>
    </row>
    <row r="36" spans="1:19" ht="30" customHeight="1" x14ac:dyDescent="0.25">
      <c r="A36" s="33" t="s">
        <v>121</v>
      </c>
      <c r="B36" s="17" t="s">
        <v>307</v>
      </c>
      <c r="C36" s="4">
        <f>_xlfn.XLOOKUP(B36,Lookups!G:G,Lookups!H:H,"",0,1)</f>
        <v>10</v>
      </c>
      <c r="D36" s="4" t="str">
        <f>_xlfn.XLOOKUP(C36,[1]Sheet2!$A$2:$A$11,[1]Sheet2!$B$2:$B$11,"Not found")</f>
        <v>Suggested Learning</v>
      </c>
      <c r="E36" s="4"/>
      <c r="F36" s="13" t="str">
        <f>_xlfn.XLOOKUP(B36,'Holiday Inn Express'!B:B,'Holiday Inn Express'!F:F,"",0,1)</f>
        <v>Self-paced Online Learning.</v>
      </c>
      <c r="G36" s="13" t="s">
        <v>170</v>
      </c>
      <c r="H36" s="13" t="s">
        <v>169</v>
      </c>
      <c r="I36" s="13" t="s">
        <v>170</v>
      </c>
      <c r="J36" s="13" t="s">
        <v>169</v>
      </c>
      <c r="K36" s="13" t="s">
        <v>169</v>
      </c>
      <c r="L36" s="13" t="s">
        <v>169</v>
      </c>
      <c r="M36" s="13" t="s">
        <v>169</v>
      </c>
      <c r="N36" s="13" t="s">
        <v>169</v>
      </c>
      <c r="O36" s="13" t="s">
        <v>169</v>
      </c>
      <c r="P36" s="13" t="s">
        <v>169</v>
      </c>
      <c r="Q36" s="13" t="s">
        <v>169</v>
      </c>
      <c r="R36" s="13" t="s">
        <v>169</v>
      </c>
      <c r="S36" s="13" t="s">
        <v>169</v>
      </c>
    </row>
    <row r="37" spans="1:19" ht="30" customHeight="1" x14ac:dyDescent="0.25">
      <c r="A37" s="33" t="s">
        <v>122</v>
      </c>
      <c r="B37" s="17" t="s">
        <v>123</v>
      </c>
      <c r="C37" s="4">
        <f>_xlfn.XLOOKUP(B37,Lookups!G:G,Lookups!H:H,"",0,1)</f>
        <v>5</v>
      </c>
      <c r="D37" s="4" t="str">
        <f>_xlfn.XLOOKUP(C37,[1]Sheet2!$A$2:$A$11,[1]Sheet2!$B$2:$B$11,"Not found")</f>
        <v>within 90 days</v>
      </c>
      <c r="E37" s="4"/>
      <c r="F37" s="13" t="str">
        <f>_xlfn.XLOOKUP(B37,'Holiday Inn Express'!B:B,'Holiday Inn Express'!F:F,"",0,1)</f>
        <v/>
      </c>
      <c r="G37" s="13" t="s">
        <v>169</v>
      </c>
      <c r="H37" s="13" t="s">
        <v>169</v>
      </c>
      <c r="I37" s="13" t="s">
        <v>170</v>
      </c>
      <c r="J37" s="13" t="s">
        <v>169</v>
      </c>
      <c r="K37" s="13" t="s">
        <v>169</v>
      </c>
      <c r="L37" s="13" t="s">
        <v>169</v>
      </c>
      <c r="M37" s="13" t="s">
        <v>169</v>
      </c>
      <c r="N37" s="13" t="s">
        <v>169</v>
      </c>
      <c r="O37" s="13" t="s">
        <v>169</v>
      </c>
      <c r="P37" s="13" t="s">
        <v>169</v>
      </c>
      <c r="Q37" s="13" t="s">
        <v>169</v>
      </c>
      <c r="R37" s="13" t="s">
        <v>169</v>
      </c>
      <c r="S37" s="13" t="s">
        <v>169</v>
      </c>
    </row>
    <row r="38" spans="1:19" ht="30" customHeight="1" x14ac:dyDescent="0.25">
      <c r="A38" s="30" t="s">
        <v>124</v>
      </c>
      <c r="B38" s="8" t="s">
        <v>238</v>
      </c>
      <c r="C38" s="4">
        <v>7</v>
      </c>
      <c r="D38" s="4" t="s">
        <v>178</v>
      </c>
      <c r="E38" s="4"/>
      <c r="F38" s="13" t="str">
        <f>_xlfn.XLOOKUP(B38,'Holiday Inn Express'!B:B,'Holiday Inn Express'!F:F,"",0,1)</f>
        <v>Access to the system will automatically be given. For New Hotels - only to be completed after official hotel opening.</v>
      </c>
      <c r="G38" s="13" t="s">
        <v>170</v>
      </c>
      <c r="H38" s="13" t="s">
        <v>169</v>
      </c>
      <c r="I38" s="13" t="s">
        <v>169</v>
      </c>
      <c r="J38" s="13" t="s">
        <v>169</v>
      </c>
      <c r="K38" s="13" t="s">
        <v>169</v>
      </c>
      <c r="L38" s="13" t="s">
        <v>169</v>
      </c>
      <c r="M38" s="13" t="s">
        <v>169</v>
      </c>
      <c r="N38" s="13" t="s">
        <v>169</v>
      </c>
      <c r="O38" s="13" t="s">
        <v>169</v>
      </c>
      <c r="P38" s="13" t="s">
        <v>169</v>
      </c>
      <c r="Q38" s="13" t="s">
        <v>169</v>
      </c>
      <c r="R38" s="13" t="s">
        <v>169</v>
      </c>
      <c r="S38" s="13" t="s">
        <v>169</v>
      </c>
    </row>
    <row r="39" spans="1:19" ht="30" customHeight="1" x14ac:dyDescent="0.25">
      <c r="A39" s="30" t="s">
        <v>125</v>
      </c>
      <c r="B39" s="8" t="s">
        <v>239</v>
      </c>
      <c r="C39" s="4">
        <v>7</v>
      </c>
      <c r="D39" s="4" t="s">
        <v>178</v>
      </c>
      <c r="E39" s="4"/>
      <c r="F39" s="13" t="str">
        <f>_xlfn.XLOOKUP(B39,'Holiday Inn Express'!B:B,'Holiday Inn Express'!F:F,"",0,1)</f>
        <v>Prerequisite: Must complete Onboarding Learning Plan</v>
      </c>
      <c r="G39" s="13" t="s">
        <v>170</v>
      </c>
      <c r="H39" s="13" t="s">
        <v>169</v>
      </c>
      <c r="I39" s="13" t="s">
        <v>169</v>
      </c>
      <c r="J39" s="13" t="s">
        <v>169</v>
      </c>
      <c r="K39" s="13" t="s">
        <v>169</v>
      </c>
      <c r="L39" s="13" t="s">
        <v>169</v>
      </c>
      <c r="M39" s="13" t="s">
        <v>169</v>
      </c>
      <c r="N39" s="13" t="s">
        <v>169</v>
      </c>
      <c r="O39" s="13" t="s">
        <v>169</v>
      </c>
      <c r="P39" s="13" t="s">
        <v>169</v>
      </c>
      <c r="Q39" s="13" t="s">
        <v>169</v>
      </c>
      <c r="R39" s="13" t="s">
        <v>169</v>
      </c>
      <c r="S39" s="13" t="s">
        <v>169</v>
      </c>
    </row>
    <row r="40" spans="1:19" ht="30" customHeight="1" x14ac:dyDescent="0.25">
      <c r="A40" s="34" t="s">
        <v>317</v>
      </c>
      <c r="B40" s="17" t="s">
        <v>163</v>
      </c>
      <c r="C40" s="4">
        <v>3</v>
      </c>
      <c r="D40" s="4" t="str">
        <f>_xlfn.XLOOKUP(C40,[1]Sheet2!$A$2:$A$11,[1]Sheet2!$B$2:$B$11,"Not found")</f>
        <v>within 30 days</v>
      </c>
      <c r="E40" s="4"/>
      <c r="F40" s="13" t="str">
        <f>_xlfn.XLOOKUP(B40,'Holiday Inn Express'!B:B,'Holiday Inn Express'!F:F,"",0,1)</f>
        <v/>
      </c>
      <c r="G40" s="13" t="s">
        <v>170</v>
      </c>
      <c r="H40" s="13" t="s">
        <v>170</v>
      </c>
      <c r="I40" s="13" t="s">
        <v>170</v>
      </c>
      <c r="J40" s="13" t="s">
        <v>170</v>
      </c>
      <c r="K40" s="13" t="s">
        <v>170</v>
      </c>
      <c r="L40" s="13" t="s">
        <v>170</v>
      </c>
      <c r="M40" s="13" t="s">
        <v>170</v>
      </c>
      <c r="N40" s="13" t="s">
        <v>170</v>
      </c>
      <c r="O40" s="13" t="s">
        <v>170</v>
      </c>
      <c r="P40" s="13" t="s">
        <v>170</v>
      </c>
      <c r="Q40" s="13" t="s">
        <v>170</v>
      </c>
      <c r="R40" s="13" t="s">
        <v>170</v>
      </c>
      <c r="S40" s="13" t="s">
        <v>170</v>
      </c>
    </row>
    <row r="41" spans="1:19" ht="30" customHeight="1" x14ac:dyDescent="0.25">
      <c r="A41" s="33" t="s">
        <v>127</v>
      </c>
      <c r="B41" s="13" t="s">
        <v>128</v>
      </c>
      <c r="C41" s="4">
        <f>_xlfn.XLOOKUP(B41,Lookups!G:G,Lookups!H:H,"",0,1)</f>
        <v>10</v>
      </c>
      <c r="D41" s="4" t="str">
        <f>_xlfn.XLOOKUP(C41,[1]Sheet2!$A$2:$A$11,[1]Sheet2!$B$2:$B$11,"Not found")</f>
        <v>Suggested Learning</v>
      </c>
      <c r="E41" s="4"/>
      <c r="F41" s="13" t="str">
        <f>_xlfn.XLOOKUP(B41,'Holiday Inn Express'!B:B,'Holiday Inn Express'!F:F,"",0,1)</f>
        <v>Self-paced Online Learning (25 Minutes).</v>
      </c>
      <c r="G41" s="13" t="s">
        <v>170</v>
      </c>
      <c r="H41" s="18" t="s">
        <v>169</v>
      </c>
      <c r="I41" s="18" t="s">
        <v>169</v>
      </c>
      <c r="J41" s="18" t="s">
        <v>169</v>
      </c>
      <c r="K41" s="18" t="s">
        <v>169</v>
      </c>
      <c r="L41" s="18" t="s">
        <v>170</v>
      </c>
      <c r="M41" s="18" t="s">
        <v>169</v>
      </c>
      <c r="N41" s="18" t="s">
        <v>169</v>
      </c>
      <c r="O41" s="18" t="s">
        <v>169</v>
      </c>
      <c r="P41" s="18" t="s">
        <v>169</v>
      </c>
      <c r="Q41" s="18" t="s">
        <v>169</v>
      </c>
      <c r="R41" s="18" t="s">
        <v>169</v>
      </c>
      <c r="S41" s="18" t="s">
        <v>169</v>
      </c>
    </row>
    <row r="42" spans="1:19" ht="30" customHeight="1" x14ac:dyDescent="0.25">
      <c r="A42" s="30" t="s">
        <v>129</v>
      </c>
      <c r="B42" s="17" t="s">
        <v>130</v>
      </c>
      <c r="C42" s="4">
        <f>_xlfn.XLOOKUP(B42,Lookups!G:G,Lookups!H:H,"",0,1)</f>
        <v>10</v>
      </c>
      <c r="D42" s="4" t="str">
        <f>_xlfn.XLOOKUP(C42,[1]Sheet2!$A$2:$A$11,[1]Sheet2!$B$2:$B$11,"Not found")</f>
        <v>Suggested Learning</v>
      </c>
      <c r="E42" s="4"/>
      <c r="F42" s="13" t="str">
        <f>_xlfn.XLOOKUP(B42,'Holiday Inn Express'!B:B,'Holiday Inn Express'!F:F,"",0,1)</f>
        <v>Self-paced Online Learning (25 Minutes).</v>
      </c>
      <c r="G42" s="18" t="s">
        <v>169</v>
      </c>
      <c r="H42" s="18" t="s">
        <v>169</v>
      </c>
      <c r="I42" s="18" t="s">
        <v>169</v>
      </c>
      <c r="J42" s="18" t="s">
        <v>169</v>
      </c>
      <c r="K42" s="18" t="s">
        <v>169</v>
      </c>
      <c r="L42" s="18" t="s">
        <v>169</v>
      </c>
      <c r="M42" s="18" t="s">
        <v>169</v>
      </c>
      <c r="N42" s="18" t="s">
        <v>169</v>
      </c>
      <c r="O42" s="18" t="s">
        <v>169</v>
      </c>
      <c r="P42" s="18" t="s">
        <v>170</v>
      </c>
      <c r="Q42" s="18" t="s">
        <v>169</v>
      </c>
      <c r="R42" s="18" t="s">
        <v>169</v>
      </c>
      <c r="S42" s="18" t="s">
        <v>169</v>
      </c>
    </row>
    <row r="43" spans="1:19" ht="30" customHeight="1" x14ac:dyDescent="0.25">
      <c r="A43" s="33" t="s">
        <v>133</v>
      </c>
      <c r="B43" s="12" t="s">
        <v>134</v>
      </c>
      <c r="C43" s="4">
        <f>_xlfn.XLOOKUP(B43,Lookups!G:G,Lookups!H:H,"",0,1)</f>
        <v>10</v>
      </c>
      <c r="D43" s="4" t="str">
        <f>_xlfn.XLOOKUP(C43,[1]Sheet2!$A$2:$A$11,[1]Sheet2!$B$2:$B$11,"Not found")</f>
        <v>Suggested Learning</v>
      </c>
      <c r="E43" s="4"/>
      <c r="F43" s="13" t="str">
        <f>_xlfn.XLOOKUP(B43,voco!B:B,voco!F:F,"",0,1)</f>
        <v>Self-paced Online Learning (15 Minutes).</v>
      </c>
      <c r="G43" s="18" t="s">
        <v>169</v>
      </c>
      <c r="H43" s="18" t="s">
        <v>169</v>
      </c>
      <c r="I43" s="18" t="s">
        <v>169</v>
      </c>
      <c r="J43" s="18" t="s">
        <v>169</v>
      </c>
      <c r="K43" s="18" t="s">
        <v>169</v>
      </c>
      <c r="L43" s="18" t="s">
        <v>170</v>
      </c>
      <c r="M43" s="18" t="s">
        <v>169</v>
      </c>
      <c r="N43" s="18" t="s">
        <v>169</v>
      </c>
      <c r="O43" s="18" t="s">
        <v>169</v>
      </c>
      <c r="P43" s="18" t="s">
        <v>170</v>
      </c>
      <c r="Q43" s="18" t="s">
        <v>169</v>
      </c>
      <c r="R43" s="18" t="s">
        <v>169</v>
      </c>
      <c r="S43" s="18" t="s">
        <v>169</v>
      </c>
    </row>
    <row r="44" spans="1:19" ht="30" customHeight="1" x14ac:dyDescent="0.25">
      <c r="A44" s="34" t="s">
        <v>135</v>
      </c>
      <c r="B44" s="17" t="s">
        <v>136</v>
      </c>
      <c r="C44" s="4">
        <f>_xlfn.XLOOKUP(B44,Lookups!G:G,Lookups!H:H,"",0,1)</f>
        <v>10</v>
      </c>
      <c r="D44" s="4" t="str">
        <f>_xlfn.XLOOKUP(C44,[1]Sheet2!$A$2:$A$11,[1]Sheet2!$B$2:$B$11,"Not found")</f>
        <v>Suggested Learning</v>
      </c>
      <c r="E44" s="4"/>
      <c r="F44" s="13" t="str">
        <f>_xlfn.XLOOKUP(B44,voco!B:B,voco!F:F,"",0,1)</f>
        <v>Self-paced Online Learning (15 Minutes).</v>
      </c>
      <c r="G44" s="18" t="s">
        <v>169</v>
      </c>
      <c r="H44" s="18" t="s">
        <v>169</v>
      </c>
      <c r="I44" s="18" t="s">
        <v>169</v>
      </c>
      <c r="J44" s="18" t="s">
        <v>169</v>
      </c>
      <c r="K44" s="18" t="s">
        <v>169</v>
      </c>
      <c r="L44" s="18" t="s">
        <v>170</v>
      </c>
      <c r="M44" s="18" t="s">
        <v>169</v>
      </c>
      <c r="N44" s="18" t="s">
        <v>169</v>
      </c>
      <c r="O44" s="18" t="s">
        <v>169</v>
      </c>
      <c r="P44" s="18" t="s">
        <v>170</v>
      </c>
      <c r="Q44" s="18" t="s">
        <v>169</v>
      </c>
      <c r="R44" s="18" t="s">
        <v>169</v>
      </c>
      <c r="S44" s="18" t="s">
        <v>169</v>
      </c>
    </row>
    <row r="45" spans="1:19" ht="30" customHeight="1" x14ac:dyDescent="0.25">
      <c r="A45" s="34" t="s">
        <v>137</v>
      </c>
      <c r="B45" s="17" t="s">
        <v>138</v>
      </c>
      <c r="C45" s="4">
        <f>_xlfn.XLOOKUP(B45,Lookups!G:G,Lookups!H:H,"",0,1)</f>
        <v>10</v>
      </c>
      <c r="D45" s="4" t="str">
        <f>_xlfn.XLOOKUP(C45,[1]Sheet2!$A$2:$A$11,[1]Sheet2!$B$2:$B$11,"Not found")</f>
        <v>Suggested Learning</v>
      </c>
      <c r="E45" s="4"/>
      <c r="F45" s="13" t="str">
        <f>_xlfn.XLOOKUP(B45,voco!B:B,voco!F:F,"",0,1)</f>
        <v>Self-paced Online Learning.</v>
      </c>
      <c r="G45" s="18" t="s">
        <v>169</v>
      </c>
      <c r="H45" s="18" t="s">
        <v>169</v>
      </c>
      <c r="I45" s="18" t="s">
        <v>169</v>
      </c>
      <c r="J45" s="18" t="s">
        <v>169</v>
      </c>
      <c r="K45" s="18" t="s">
        <v>169</v>
      </c>
      <c r="L45" s="18" t="s">
        <v>170</v>
      </c>
      <c r="M45" s="18" t="s">
        <v>169</v>
      </c>
      <c r="N45" s="18" t="s">
        <v>169</v>
      </c>
      <c r="O45" s="18" t="s">
        <v>169</v>
      </c>
      <c r="P45" s="18" t="s">
        <v>170</v>
      </c>
      <c r="Q45" s="18" t="s">
        <v>169</v>
      </c>
      <c r="R45" s="18" t="s">
        <v>169</v>
      </c>
      <c r="S45" s="18" t="s">
        <v>169</v>
      </c>
    </row>
    <row r="46" spans="1:19" ht="30" customHeight="1" x14ac:dyDescent="0.25">
      <c r="A46" s="34" t="s">
        <v>152</v>
      </c>
      <c r="B46" s="17" t="s">
        <v>151</v>
      </c>
      <c r="C46" s="4">
        <f>_xlfn.XLOOKUP(B46,Lookups!G:G,Lookups!H:H,"",0,1)</f>
        <v>10</v>
      </c>
      <c r="D46" s="4" t="str">
        <f>_xlfn.XLOOKUP(C46,[1]Sheet2!$A$2:$A$11,[1]Sheet2!$B$2:$B$11,"Not found")</f>
        <v>Suggested Learning</v>
      </c>
      <c r="E46" s="4"/>
      <c r="F46" s="13" t="str">
        <f>_xlfn.XLOOKUP(B46,voco!B:B,voco!F:F,"",0,1)</f>
        <v>Self-paced Online Learning (30 Minutes).</v>
      </c>
      <c r="G46" s="18" t="s">
        <v>169</v>
      </c>
      <c r="H46" s="18" t="s">
        <v>169</v>
      </c>
      <c r="I46" s="18" t="s">
        <v>169</v>
      </c>
      <c r="J46" s="18" t="s">
        <v>169</v>
      </c>
      <c r="K46" s="18" t="s">
        <v>169</v>
      </c>
      <c r="L46" s="18" t="s">
        <v>170</v>
      </c>
      <c r="M46" s="18" t="s">
        <v>169</v>
      </c>
      <c r="N46" s="18" t="s">
        <v>169</v>
      </c>
      <c r="O46" s="18" t="s">
        <v>169</v>
      </c>
      <c r="P46" s="18" t="s">
        <v>170</v>
      </c>
      <c r="Q46" s="18" t="s">
        <v>169</v>
      </c>
      <c r="R46" s="18" t="s">
        <v>169</v>
      </c>
      <c r="S46" s="18" t="s">
        <v>169</v>
      </c>
    </row>
  </sheetData>
  <hyperlinks>
    <hyperlink ref="B10" r:id="rId1" display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xr:uid="{3F3444DB-7660-4A51-848B-83253AA886B2}"/>
    <hyperlink ref="B8" r:id="rId2" display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xr:uid="{6DBDB61F-2E68-4EB9-B30F-00F29A7BF9F1}"/>
    <hyperlink ref="B30" r:id="rId3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7A5E9469-F415-4D03-8F85-BDC532D61989}"/>
    <hyperlink ref="B11" r:id="rId4" xr:uid="{98DDCFA9-C416-471C-9EDC-3027AC7F763F}"/>
    <hyperlink ref="B13" r:id="rId5" xr:uid="{92F27482-CC2C-45C7-9D25-A770388E42D2}"/>
    <hyperlink ref="B14" r:id="rId6" xr:uid="{5EB8CA66-65FA-402E-A4CF-3CB10B3A268F}"/>
    <hyperlink ref="B15" r:id="rId7" xr:uid="{D2CD8E51-72AB-4BA6-9430-A01C8E8D8F23}"/>
    <hyperlink ref="B16" r:id="rId8" xr:uid="{0AC8AC37-6EBD-4730-9B1F-ED466C1DBEA1}"/>
    <hyperlink ref="B17" r:id="rId9" xr:uid="{0DB58F3E-37FC-4C0C-B7C2-37E4D91C1BB0}"/>
    <hyperlink ref="B26" r:id="rId10" xr:uid="{B9137C61-945D-429A-ADE2-275E181D0582}"/>
    <hyperlink ref="B25" r:id="rId11" xr:uid="{3CF3C093-BAD9-49AC-B05A-BC88BDEF5DCA}"/>
    <hyperlink ref="B24" r:id="rId12" xr:uid="{EDBC6CFE-202B-4106-AF6E-8CE6F9904712}"/>
    <hyperlink ref="B23" r:id="rId13" xr:uid="{F80219DB-4581-4297-B9B3-AE048131B026}"/>
    <hyperlink ref="B22" r:id="rId14" xr:uid="{268940C4-B90A-4850-A710-95309CBD0E1C}"/>
    <hyperlink ref="B21" r:id="rId15" xr:uid="{E404B77A-1778-4B43-858F-EBD27A5B81D5}"/>
    <hyperlink ref="B20" r:id="rId16" xr:uid="{C926CCE4-2165-4E73-B551-725884C3172F}"/>
    <hyperlink ref="B27" r:id="rId17" xr:uid="{1B92540F-FB4A-4483-A30D-C12B7A93F334}"/>
    <hyperlink ref="B29" r:id="rId18" xr:uid="{8EB6F020-7B4B-4183-BEB9-A5230BF63EAC}"/>
    <hyperlink ref="B31" r:id="rId19" xr:uid="{69852BC4-CA32-45E0-8396-4ADE53E9D611}"/>
    <hyperlink ref="B32" r:id="rId20" xr:uid="{920E9061-78C7-45C6-8374-DD4880BF0EA6}"/>
    <hyperlink ref="B12" r:id="rId21" xr:uid="{D1762190-A302-440C-9661-EAD2485056A6}"/>
    <hyperlink ref="B37" r:id="rId22" xr:uid="{2CD8ABD7-011B-4DE4-8AA5-1F2EFD342B01}"/>
    <hyperlink ref="B33" r:id="rId23" xr:uid="{C0C1BBC3-2888-4A02-BE71-8FC941CF9088}"/>
    <hyperlink ref="B34" r:id="rId24" xr:uid="{5FF31E64-A4F4-449D-9D61-CE67ED5300A0}"/>
    <hyperlink ref="B35" r:id="rId25" xr:uid="{0990599C-42EA-4902-B929-A2BF7853DB55}"/>
    <hyperlink ref="B40" r:id="rId26" xr:uid="{14FB1160-3545-4020-85D5-009A528BF6FD}"/>
    <hyperlink ref="B41" r:id="rId27" xr:uid="{2B7774BE-E362-4B7A-BF0A-C89A2F909B20}"/>
    <hyperlink ref="B42" r:id="rId28" xr:uid="{D7FA1203-EEE5-468B-A3D5-F99A9A961001}"/>
    <hyperlink ref="B43" r:id="rId29" xr:uid="{431E2DF6-1FC5-4F18-AFE4-352FF94D27F9}"/>
    <hyperlink ref="B44" r:id="rId30" xr:uid="{8008BB7A-1FE3-414E-9787-3F1A8385417B}"/>
    <hyperlink ref="B45" r:id="rId31" xr:uid="{514475F9-FBF1-470C-96C0-2438F2EC6B6C}"/>
    <hyperlink ref="B46" r:id="rId32" xr:uid="{19E04A26-0A55-4853-BBAB-537F12F620EA}"/>
    <hyperlink ref="B18" r:id="rId33" xr:uid="{21857E11-3B72-43C9-92FF-9C60D39FE6FD}"/>
    <hyperlink ref="B19" r:id="rId34" xr:uid="{53C83837-7AE6-4AC1-B95E-B8072D4E9EEC}"/>
    <hyperlink ref="B38" r:id="rId35" xr:uid="{49D2A57F-8655-4AF2-9218-C051BA7A68E5}"/>
    <hyperlink ref="B39" r:id="rId36" xr:uid="{E94C6441-D1A1-45BE-8817-C217A1296E62}"/>
    <hyperlink ref="B9" r:id="rId37" xr:uid="{C8CE5DEE-C770-43D5-B664-487BE7A2D325}"/>
    <hyperlink ref="B28" r:id="rId38" xr:uid="{177C8D77-BBA8-4266-8B8F-CC7BF8ADB0B1}"/>
    <hyperlink ref="B2" r:id="rId39" xr:uid="{D86BD839-D95C-4686-9CA1-065A2BA2A846}"/>
    <hyperlink ref="B7" r:id="rId40" display="Hotel Experience Champion Guide" xr:uid="{A2EC53C4-099D-4746-833F-0A33F7B1F176}"/>
    <hyperlink ref="B3" r:id="rId41" display="Managed Hotel - Leaders Guide" xr:uid="{DB5D7317-DBAA-44CD-B0EA-7EEC9FF3EF3C}"/>
    <hyperlink ref="B4" r:id="rId42" xr:uid="{EF44BDAA-85F7-4300-B1E9-149265F4797A}"/>
    <hyperlink ref="B5" r:id="rId43" xr:uid="{1C2C1994-9DE4-492D-A2C3-650693C51CA8}"/>
    <hyperlink ref="B6" r:id="rId44" xr:uid="{DB4109BD-EDD1-434F-B83B-6BC717B54AEF}"/>
    <hyperlink ref="B36" r:id="rId45" display="IHG53503" xr:uid="{8D1FC4F1-41C1-48B5-BF4D-E2255D71F97F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6AEF7-2AC7-48C7-BAC1-2155E8A1B607}">
  <sheetPr>
    <tabColor rgb="FF9B2241"/>
  </sheetPr>
  <dimension ref="A1:X41"/>
  <sheetViews>
    <sheetView topLeftCell="B1" zoomScale="85" zoomScaleNormal="85" workbookViewId="0">
      <pane ySplit="1" topLeftCell="A2" activePane="bottomLeft" state="frozen"/>
      <selection activeCell="B1" sqref="B1:B1048576"/>
      <selection pane="bottomLeft" activeCell="B1" sqref="B1:B1048576"/>
    </sheetView>
  </sheetViews>
  <sheetFormatPr defaultRowHeight="30" customHeight="1" x14ac:dyDescent="0.25"/>
  <cols>
    <col min="1" max="1" width="48.7109375" style="38" customWidth="1"/>
    <col min="2" max="2" width="16.7109375" style="23" customWidth="1"/>
    <col min="3" max="5" width="22.7109375" style="9" customWidth="1"/>
    <col min="6" max="6" width="31.7109375" style="28" customWidth="1"/>
    <col min="7" max="19" width="19.5703125" style="28" customWidth="1"/>
    <col min="20" max="24" width="9.140625" style="28"/>
    <col min="25" max="16384" width="9.140625" style="24"/>
  </cols>
  <sheetData>
    <row r="1" spans="1:19" ht="30" customHeight="1" x14ac:dyDescent="0.25">
      <c r="A1" s="33" t="s">
        <v>23</v>
      </c>
      <c r="B1" s="13" t="s">
        <v>50</v>
      </c>
      <c r="C1" s="4" t="s">
        <v>182</v>
      </c>
      <c r="D1" s="4" t="s">
        <v>183</v>
      </c>
      <c r="E1" s="4" t="s">
        <v>184</v>
      </c>
      <c r="F1" s="13" t="s">
        <v>51</v>
      </c>
      <c r="G1" s="13" t="s">
        <v>52</v>
      </c>
      <c r="H1" s="13" t="s">
        <v>53</v>
      </c>
      <c r="I1" s="13" t="s">
        <v>54</v>
      </c>
      <c r="J1" s="13" t="s">
        <v>55</v>
      </c>
      <c r="K1" s="13" t="s">
        <v>56</v>
      </c>
      <c r="L1" s="13" t="s">
        <v>57</v>
      </c>
      <c r="M1" s="13" t="s">
        <v>58</v>
      </c>
      <c r="N1" s="13" t="s">
        <v>59</v>
      </c>
      <c r="O1" s="13" t="s">
        <v>60</v>
      </c>
      <c r="P1" s="13" t="s">
        <v>61</v>
      </c>
      <c r="Q1" s="13" t="s">
        <v>62</v>
      </c>
      <c r="R1" s="13" t="s">
        <v>63</v>
      </c>
      <c r="S1" s="13" t="s">
        <v>64</v>
      </c>
    </row>
    <row r="2" spans="1:19" ht="30" customHeight="1" x14ac:dyDescent="0.25">
      <c r="A2" s="30" t="s">
        <v>65</v>
      </c>
      <c r="B2" s="12" t="s">
        <v>66</v>
      </c>
      <c r="C2" s="4">
        <f>_xlfn.XLOOKUP(B2,Lookups!G:G,Lookups!H:H,"",0,1)</f>
        <v>3</v>
      </c>
      <c r="D2" s="4" t="str">
        <f>_xlfn.XLOOKUP(C2,[1]Sheet2!$A$2:$A$11,[1]Sheet2!$B$2:$B$11,"Not found")</f>
        <v>within 30 days</v>
      </c>
      <c r="E2" s="4"/>
      <c r="F2" s="13" t="str">
        <f>_xlfn.XLOOKUP(B2,'Holiday Inn Express'!B:B,'Holiday Inn Express'!F:F,"",0,1)</f>
        <v xml:space="preserve">Self-paced Online Learning (1 Hour 15 Minutes). Hotel-led in-person training (On-Job-Training, OJT) is permitted &amp; completions must be tracked in myLearning. </v>
      </c>
      <c r="G2" s="13" t="s">
        <v>170</v>
      </c>
      <c r="H2" s="13" t="s">
        <v>170</v>
      </c>
      <c r="I2" s="13" t="s">
        <v>170</v>
      </c>
      <c r="J2" s="13" t="s">
        <v>170</v>
      </c>
      <c r="K2" s="13" t="s">
        <v>170</v>
      </c>
      <c r="L2" s="13" t="s">
        <v>170</v>
      </c>
      <c r="M2" s="13" t="s">
        <v>170</v>
      </c>
      <c r="N2" s="13" t="s">
        <v>170</v>
      </c>
      <c r="O2" s="13" t="s">
        <v>170</v>
      </c>
      <c r="P2" s="13" t="s">
        <v>170</v>
      </c>
      <c r="Q2" s="13" t="s">
        <v>170</v>
      </c>
      <c r="R2" s="13" t="s">
        <v>170</v>
      </c>
      <c r="S2" s="13" t="s">
        <v>170</v>
      </c>
    </row>
    <row r="3" spans="1:19" ht="30" customHeight="1" x14ac:dyDescent="0.25">
      <c r="A3" s="33" t="s">
        <v>164</v>
      </c>
      <c r="B3" s="12" t="s">
        <v>165</v>
      </c>
      <c r="C3" s="4">
        <f>_xlfn.XLOOKUP(B3,Lookups!G:G,Lookups!H:H,"",0,1)</f>
        <v>3</v>
      </c>
      <c r="D3" s="4" t="str">
        <f>_xlfn.XLOOKUP(C3,[1]Sheet2!$A$2:$A$11,[1]Sheet2!$B$2:$B$11,"Not found")</f>
        <v>within 30 days</v>
      </c>
      <c r="E3" s="4"/>
      <c r="F3" s="13" t="s">
        <v>311</v>
      </c>
      <c r="G3" s="13" t="s">
        <v>170</v>
      </c>
      <c r="H3" s="13" t="s">
        <v>170</v>
      </c>
      <c r="I3" s="13" t="s">
        <v>170</v>
      </c>
      <c r="J3" s="13" t="s">
        <v>170</v>
      </c>
      <c r="K3" s="13" t="s">
        <v>170</v>
      </c>
      <c r="L3" s="13" t="s">
        <v>170</v>
      </c>
      <c r="M3" s="13" t="s">
        <v>170</v>
      </c>
      <c r="N3" s="13" t="s">
        <v>170</v>
      </c>
      <c r="O3" s="13" t="s">
        <v>170</v>
      </c>
      <c r="P3" s="13" t="s">
        <v>170</v>
      </c>
      <c r="Q3" s="13" t="s">
        <v>170</v>
      </c>
      <c r="R3" s="13" t="s">
        <v>170</v>
      </c>
      <c r="S3" s="13" t="s">
        <v>170</v>
      </c>
    </row>
    <row r="4" spans="1:19" ht="30" customHeight="1" x14ac:dyDescent="0.25">
      <c r="A4" s="33" t="s">
        <v>166</v>
      </c>
      <c r="B4" s="12" t="s">
        <v>167</v>
      </c>
      <c r="C4" s="4">
        <f>_xlfn.XLOOKUP(B4,Lookups!G:G,Lookups!H:H,"",0,1)</f>
        <v>3</v>
      </c>
      <c r="D4" s="4" t="str">
        <f>_xlfn.XLOOKUP(C4,[1]Sheet2!$A$2:$A$11,[1]Sheet2!$B$2:$B$11,"Not found")</f>
        <v>within 30 days</v>
      </c>
      <c r="E4" s="4"/>
      <c r="F4" s="13" t="s">
        <v>311</v>
      </c>
      <c r="G4" s="13" t="s">
        <v>170</v>
      </c>
      <c r="H4" s="13" t="s">
        <v>170</v>
      </c>
      <c r="I4" s="13" t="s">
        <v>170</v>
      </c>
      <c r="J4" s="13" t="s">
        <v>170</v>
      </c>
      <c r="K4" s="13" t="s">
        <v>170</v>
      </c>
      <c r="L4" s="13" t="s">
        <v>170</v>
      </c>
      <c r="M4" s="13" t="s">
        <v>170</v>
      </c>
      <c r="N4" s="13" t="s">
        <v>170</v>
      </c>
      <c r="O4" s="13" t="s">
        <v>170</v>
      </c>
      <c r="P4" s="13" t="s">
        <v>170</v>
      </c>
      <c r="Q4" s="13" t="s">
        <v>170</v>
      </c>
      <c r="R4" s="13" t="s">
        <v>170</v>
      </c>
      <c r="S4" s="13" t="s">
        <v>170</v>
      </c>
    </row>
    <row r="5" spans="1:19" ht="30" customHeight="1" x14ac:dyDescent="0.25">
      <c r="A5" s="33" t="s">
        <v>292</v>
      </c>
      <c r="B5" s="16" t="s">
        <v>286</v>
      </c>
      <c r="C5" s="4">
        <f>_xlfn.XLOOKUP(B5,Lookups!G:G,Lookups!H:H,"",0,1)</f>
        <v>3</v>
      </c>
      <c r="D5" s="4" t="str">
        <f>_xlfn.XLOOKUP(C5,[1]Sheet2!$A$2:$A$11,[1]Sheet2!$B$2:$B$11,"Not found")</f>
        <v>within 30 days</v>
      </c>
      <c r="E5" s="4"/>
      <c r="F5" s="13" t="s">
        <v>290</v>
      </c>
      <c r="G5" s="13" t="s">
        <v>170</v>
      </c>
      <c r="H5" s="13" t="s">
        <v>170</v>
      </c>
      <c r="I5" s="13" t="s">
        <v>170</v>
      </c>
      <c r="J5" s="13" t="s">
        <v>170</v>
      </c>
      <c r="K5" s="13" t="s">
        <v>170</v>
      </c>
      <c r="L5" s="13" t="s">
        <v>170</v>
      </c>
      <c r="M5" s="13" t="s">
        <v>170</v>
      </c>
      <c r="N5" s="13"/>
      <c r="O5" s="13"/>
      <c r="P5" s="13"/>
      <c r="Q5" s="13"/>
      <c r="R5" s="13" t="s">
        <v>170</v>
      </c>
      <c r="S5" s="13"/>
    </row>
    <row r="6" spans="1:19" ht="30" customHeight="1" x14ac:dyDescent="0.25">
      <c r="A6" s="33" t="s">
        <v>292</v>
      </c>
      <c r="B6" s="16" t="s">
        <v>287</v>
      </c>
      <c r="C6" s="4">
        <f>_xlfn.XLOOKUP(B6,Lookups!G:G,Lookups!H:H,"",0,1)</f>
        <v>3</v>
      </c>
      <c r="D6" s="4" t="str">
        <f>_xlfn.XLOOKUP(C6,[1]Sheet2!$A$2:$A$11,[1]Sheet2!$B$2:$B$11,"Not found")</f>
        <v>within 30 days</v>
      </c>
      <c r="E6" s="4"/>
      <c r="F6" s="13" t="s">
        <v>290</v>
      </c>
      <c r="G6" s="13"/>
      <c r="H6" s="13"/>
      <c r="I6" s="13"/>
      <c r="J6" s="13"/>
      <c r="K6" s="13"/>
      <c r="L6" s="13"/>
      <c r="M6" s="13"/>
      <c r="N6" s="13" t="s">
        <v>170</v>
      </c>
      <c r="O6" s="13" t="s">
        <v>170</v>
      </c>
      <c r="P6" s="13" t="s">
        <v>170</v>
      </c>
      <c r="Q6" s="13" t="s">
        <v>170</v>
      </c>
      <c r="R6" s="13"/>
      <c r="S6" s="13" t="s">
        <v>170</v>
      </c>
    </row>
    <row r="7" spans="1:19" ht="30" customHeight="1" x14ac:dyDescent="0.25">
      <c r="A7" s="33" t="s">
        <v>293</v>
      </c>
      <c r="B7" s="16" t="s">
        <v>288</v>
      </c>
      <c r="C7" s="4">
        <f>_xlfn.XLOOKUP(B7,Lookups!G:G,Lookups!H:H,"",0,1)</f>
        <v>3</v>
      </c>
      <c r="D7" s="4" t="str">
        <f>_xlfn.XLOOKUP(C7,[1]Sheet2!$A$2:$A$11,[1]Sheet2!$B$2:$B$11,"Not found")</f>
        <v>within 30 days</v>
      </c>
      <c r="E7" s="4"/>
      <c r="F7" s="13" t="s">
        <v>291</v>
      </c>
      <c r="G7" s="13" t="s">
        <v>170</v>
      </c>
      <c r="H7" s="13" t="s">
        <v>170</v>
      </c>
      <c r="I7" s="13" t="s">
        <v>170</v>
      </c>
      <c r="J7" s="13" t="s">
        <v>170</v>
      </c>
      <c r="K7" s="13" t="s">
        <v>170</v>
      </c>
      <c r="L7" s="13" t="s">
        <v>170</v>
      </c>
      <c r="M7" s="13" t="s">
        <v>170</v>
      </c>
      <c r="N7" s="13"/>
      <c r="O7" s="13"/>
      <c r="P7" s="13"/>
      <c r="Q7" s="13"/>
      <c r="R7" s="13" t="s">
        <v>170</v>
      </c>
      <c r="S7" s="13"/>
    </row>
    <row r="8" spans="1:19" ht="30" customHeight="1" x14ac:dyDescent="0.25">
      <c r="A8" s="33" t="s">
        <v>293</v>
      </c>
      <c r="B8" s="16" t="s">
        <v>289</v>
      </c>
      <c r="C8" s="4">
        <f>_xlfn.XLOOKUP(B8,Lookups!G:G,Lookups!H:H,"",0,1)</f>
        <v>3</v>
      </c>
      <c r="D8" s="4" t="str">
        <f>_xlfn.XLOOKUP(C8,[1]Sheet2!$A$2:$A$11,[1]Sheet2!$B$2:$B$11,"Not found")</f>
        <v>within 30 days</v>
      </c>
      <c r="E8" s="4"/>
      <c r="F8" s="13" t="s">
        <v>291</v>
      </c>
      <c r="G8" s="13"/>
      <c r="H8" s="13"/>
      <c r="I8" s="13"/>
      <c r="J8" s="13"/>
      <c r="K8" s="13"/>
      <c r="L8" s="13"/>
      <c r="M8" s="13"/>
      <c r="N8" s="13" t="s">
        <v>170</v>
      </c>
      <c r="O8" s="13" t="s">
        <v>170</v>
      </c>
      <c r="P8" s="13" t="s">
        <v>170</v>
      </c>
      <c r="Q8" s="13" t="s">
        <v>170</v>
      </c>
      <c r="R8" s="13"/>
      <c r="S8" s="13" t="s">
        <v>170</v>
      </c>
    </row>
    <row r="9" spans="1:19" ht="30" customHeight="1" x14ac:dyDescent="0.25">
      <c r="A9" s="33" t="s">
        <v>69</v>
      </c>
      <c r="B9" s="16" t="s">
        <v>285</v>
      </c>
      <c r="C9" s="4">
        <v>3</v>
      </c>
      <c r="D9" s="4" t="str">
        <f>_xlfn.XLOOKUP(C9,[1]Sheet2!$A$2:$A$11,[1]Sheet2!$B$2:$B$11,"Not found")</f>
        <v>within 30 days</v>
      </c>
      <c r="E9" s="4"/>
      <c r="F9" s="4" t="s">
        <v>284</v>
      </c>
      <c r="G9" s="13" t="s">
        <v>170</v>
      </c>
      <c r="H9" s="13" t="s">
        <v>169</v>
      </c>
      <c r="I9" s="13" t="s">
        <v>169</v>
      </c>
      <c r="J9" s="13" t="s">
        <v>169</v>
      </c>
      <c r="K9" s="13" t="s">
        <v>169</v>
      </c>
      <c r="L9" s="13" t="s">
        <v>169</v>
      </c>
      <c r="M9" s="13" t="s">
        <v>169</v>
      </c>
      <c r="N9" s="13" t="s">
        <v>169</v>
      </c>
      <c r="O9" s="13" t="s">
        <v>169</v>
      </c>
      <c r="P9" s="13" t="s">
        <v>169</v>
      </c>
      <c r="Q9" s="13" t="s">
        <v>169</v>
      </c>
      <c r="R9" s="13" t="s">
        <v>169</v>
      </c>
      <c r="S9" s="13" t="s">
        <v>169</v>
      </c>
    </row>
    <row r="10" spans="1:19" ht="30" customHeight="1" x14ac:dyDescent="0.25">
      <c r="A10" s="33" t="s">
        <v>70</v>
      </c>
      <c r="B10" s="12" t="s">
        <v>71</v>
      </c>
      <c r="C10" s="4">
        <f>_xlfn.XLOOKUP(B10,Lookups!G:G,Lookups!H:H,"",0,1)</f>
        <v>4</v>
      </c>
      <c r="D10" s="4" t="str">
        <f>_xlfn.XLOOKUP(C10,[1]Sheet2!$A$2:$A$11,[1]Sheet2!$B$2:$B$11,"Not found")</f>
        <v>within 60 days</v>
      </c>
      <c r="E10" s="4"/>
      <c r="F10" s="13" t="str">
        <f>_xlfn.XLOOKUP(B10,'Holiday Inn Express'!B:B,'Holiday Inn Express'!F:F,"",0,1)</f>
        <v>Self-paced Online Learning (1 Hour 45 Minutes).</v>
      </c>
      <c r="G10" s="13" t="s">
        <v>170</v>
      </c>
      <c r="H10" s="13" t="s">
        <v>170</v>
      </c>
      <c r="I10" s="13" t="s">
        <v>170</v>
      </c>
      <c r="J10" s="13" t="s">
        <v>170</v>
      </c>
      <c r="K10" s="13" t="s">
        <v>170</v>
      </c>
      <c r="L10" s="13" t="s">
        <v>170</v>
      </c>
      <c r="M10" s="13" t="s">
        <v>170</v>
      </c>
      <c r="N10" s="13" t="s">
        <v>169</v>
      </c>
      <c r="O10" s="13" t="s">
        <v>169</v>
      </c>
      <c r="P10" s="13" t="s">
        <v>169</v>
      </c>
      <c r="Q10" s="13" t="s">
        <v>169</v>
      </c>
      <c r="R10" s="13" t="s">
        <v>170</v>
      </c>
      <c r="S10" s="13" t="s">
        <v>169</v>
      </c>
    </row>
    <row r="11" spans="1:19" ht="30" customHeight="1" x14ac:dyDescent="0.25">
      <c r="A11" s="33" t="s">
        <v>274</v>
      </c>
      <c r="B11" s="3" t="s">
        <v>274</v>
      </c>
      <c r="C11" s="4">
        <v>10</v>
      </c>
      <c r="D11" s="4" t="str">
        <f>_xlfn.XLOOKUP(C11,[1]Sheet2!$A$2:$A$11,[1]Sheet2!$B$2:$B$11,"Not found")</f>
        <v>Suggested Learning</v>
      </c>
      <c r="E11" s="4"/>
      <c r="F11" s="13" t="str">
        <f>_xlfn.XLOOKUP(B11,'Holiday Inn Express'!B:B,'Holiday Inn Express'!F:F,"",0,1)</f>
        <v>Explore resource and apply accordingly</v>
      </c>
      <c r="G11" s="13" t="s">
        <v>170</v>
      </c>
      <c r="H11" s="13" t="s">
        <v>170</v>
      </c>
      <c r="I11" s="13" t="s">
        <v>170</v>
      </c>
      <c r="J11" s="13" t="s">
        <v>170</v>
      </c>
      <c r="K11" s="13" t="s">
        <v>170</v>
      </c>
      <c r="L11" s="13" t="s">
        <v>170</v>
      </c>
      <c r="M11" s="13" t="s">
        <v>170</v>
      </c>
      <c r="N11" s="13" t="s">
        <v>169</v>
      </c>
      <c r="O11" s="13" t="s">
        <v>169</v>
      </c>
      <c r="P11" s="13" t="s">
        <v>169</v>
      </c>
      <c r="Q11" s="13" t="s">
        <v>169</v>
      </c>
      <c r="R11" s="13" t="s">
        <v>170</v>
      </c>
      <c r="S11" s="13" t="s">
        <v>169</v>
      </c>
    </row>
    <row r="12" spans="1:19" ht="30" customHeight="1" x14ac:dyDescent="0.25">
      <c r="A12" s="33" t="s">
        <v>168</v>
      </c>
      <c r="B12" s="12" t="s">
        <v>72</v>
      </c>
      <c r="C12" s="4">
        <f>_xlfn.XLOOKUP(B12,Lookups!G:G,Lookups!H:H,"",0,1)</f>
        <v>3</v>
      </c>
      <c r="D12" s="4" t="str">
        <f>_xlfn.XLOOKUP(C12,[1]Sheet2!$A$2:$A$11,[1]Sheet2!$B$2:$B$11,"Not found")</f>
        <v>within 30 days</v>
      </c>
      <c r="E12" s="4"/>
      <c r="F12" s="13" t="str">
        <f>_xlfn.XLOOKUP(B12,'Holiday Inn Express'!B:B,'Holiday Inn Express'!F:F,"",0,1)</f>
        <v xml:space="preserve">Self-paced Online Learning (1 Hour). Hotel-led in-person training (On-Job-Training, OJT) is permitted &amp; completions must be tracked in myLearning. </v>
      </c>
      <c r="G12" s="13" t="s">
        <v>170</v>
      </c>
      <c r="H12" s="13" t="s">
        <v>170</v>
      </c>
      <c r="I12" s="13" t="s">
        <v>170</v>
      </c>
      <c r="J12" s="13" t="s">
        <v>170</v>
      </c>
      <c r="K12" s="13" t="s">
        <v>170</v>
      </c>
      <c r="L12" s="13" t="s">
        <v>170</v>
      </c>
      <c r="M12" s="13" t="s">
        <v>170</v>
      </c>
      <c r="N12" s="13" t="s">
        <v>170</v>
      </c>
      <c r="O12" s="13" t="s">
        <v>170</v>
      </c>
      <c r="P12" s="13" t="s">
        <v>170</v>
      </c>
      <c r="Q12" s="13" t="s">
        <v>170</v>
      </c>
      <c r="R12" s="13" t="s">
        <v>170</v>
      </c>
      <c r="S12" s="13" t="s">
        <v>170</v>
      </c>
    </row>
    <row r="13" spans="1:19" ht="30" customHeight="1" x14ac:dyDescent="0.25">
      <c r="A13" s="33" t="s">
        <v>73</v>
      </c>
      <c r="B13" s="17" t="s">
        <v>74</v>
      </c>
      <c r="C13" s="4">
        <f>_xlfn.XLOOKUP(B13,Lookups!G:G,Lookups!H:H,"",0,1)</f>
        <v>3</v>
      </c>
      <c r="D13" s="4" t="str">
        <f>_xlfn.XLOOKUP(C13,[1]Sheet2!$A$2:$A$11,[1]Sheet2!$B$2:$B$11,"Not found")</f>
        <v>within 30 days</v>
      </c>
      <c r="E13" s="4"/>
      <c r="F13" s="13" t="str">
        <f>_xlfn.XLOOKUP(B13,'Holiday Inn Express'!B:B,'Holiday Inn Express'!F:F,"",0,1)</f>
        <v>Self-paced Online Learning (20 Minutes).</v>
      </c>
      <c r="G13" s="13" t="s">
        <v>170</v>
      </c>
      <c r="H13" s="13" t="s">
        <v>170</v>
      </c>
      <c r="I13" s="13" t="s">
        <v>170</v>
      </c>
      <c r="J13" s="13" t="s">
        <v>170</v>
      </c>
      <c r="K13" s="13" t="s">
        <v>170</v>
      </c>
      <c r="L13" s="13" t="s">
        <v>170</v>
      </c>
      <c r="M13" s="13" t="s">
        <v>170</v>
      </c>
      <c r="N13" s="13" t="s">
        <v>170</v>
      </c>
      <c r="O13" s="13" t="s">
        <v>170</v>
      </c>
      <c r="P13" s="13" t="s">
        <v>170</v>
      </c>
      <c r="Q13" s="13" t="s">
        <v>170</v>
      </c>
      <c r="R13" s="13" t="s">
        <v>170</v>
      </c>
      <c r="S13" s="13" t="s">
        <v>170</v>
      </c>
    </row>
    <row r="14" spans="1:19" ht="30" customHeight="1" x14ac:dyDescent="0.25">
      <c r="A14" s="33" t="s">
        <v>75</v>
      </c>
      <c r="B14" s="17" t="s">
        <v>76</v>
      </c>
      <c r="C14" s="4">
        <f>_xlfn.XLOOKUP(B14,Lookups!G:G,Lookups!H:H,"",0,1)</f>
        <v>3</v>
      </c>
      <c r="D14" s="4" t="str">
        <f>_xlfn.XLOOKUP(C14,[1]Sheet2!$A$2:$A$11,[1]Sheet2!$B$2:$B$11,"Not found")</f>
        <v>within 30 days</v>
      </c>
      <c r="E14" s="4"/>
      <c r="F14" s="13" t="str">
        <f>_xlfn.XLOOKUP(B14,'Holiday Inn Express'!B:B,'Holiday Inn Express'!F:F,"",0,1)</f>
        <v>Self-paced Online Learning (20 Minutes).</v>
      </c>
      <c r="G14" s="13" t="s">
        <v>170</v>
      </c>
      <c r="H14" s="13" t="s">
        <v>170</v>
      </c>
      <c r="I14" s="13" t="s">
        <v>170</v>
      </c>
      <c r="J14" s="13" t="s">
        <v>170</v>
      </c>
      <c r="K14" s="13" t="s">
        <v>170</v>
      </c>
      <c r="L14" s="13" t="s">
        <v>170</v>
      </c>
      <c r="M14" s="13" t="s">
        <v>170</v>
      </c>
      <c r="N14" s="13" t="s">
        <v>169</v>
      </c>
      <c r="O14" s="13" t="s">
        <v>169</v>
      </c>
      <c r="P14" s="13" t="s">
        <v>169</v>
      </c>
      <c r="Q14" s="13" t="s">
        <v>169</v>
      </c>
      <c r="R14" s="13" t="s">
        <v>170</v>
      </c>
      <c r="S14" s="13" t="s">
        <v>169</v>
      </c>
    </row>
    <row r="15" spans="1:19" ht="30" customHeight="1" x14ac:dyDescent="0.25">
      <c r="A15" s="33" t="s">
        <v>77</v>
      </c>
      <c r="B15" s="17" t="s">
        <v>78</v>
      </c>
      <c r="C15" s="4">
        <f>_xlfn.XLOOKUP(B15,Lookups!G:G,Lookups!H:H,"",0,1)</f>
        <v>3</v>
      </c>
      <c r="D15" s="4" t="str">
        <f>_xlfn.XLOOKUP(C15,[1]Sheet2!$A$2:$A$11,[1]Sheet2!$B$2:$B$11,"Not found")</f>
        <v>within 30 days</v>
      </c>
      <c r="E15" s="4"/>
      <c r="F15" s="13" t="str">
        <f>_xlfn.XLOOKUP(B15,'Holiday Inn Express'!B:B,'Holiday Inn Express'!F:F,"",0,1)</f>
        <v>Self-paced Online Learning (20 Minutes).</v>
      </c>
      <c r="G15" s="13" t="s">
        <v>170</v>
      </c>
      <c r="H15" s="13" t="s">
        <v>170</v>
      </c>
      <c r="I15" s="13" t="s">
        <v>170</v>
      </c>
      <c r="J15" s="13" t="s">
        <v>170</v>
      </c>
      <c r="K15" s="13" t="s">
        <v>170</v>
      </c>
      <c r="L15" s="13" t="s">
        <v>170</v>
      </c>
      <c r="M15" s="13" t="s">
        <v>170</v>
      </c>
      <c r="N15" s="13" t="s">
        <v>170</v>
      </c>
      <c r="O15" s="13" t="s">
        <v>170</v>
      </c>
      <c r="P15" s="13" t="s">
        <v>170</v>
      </c>
      <c r="Q15" s="13" t="s">
        <v>170</v>
      </c>
      <c r="R15" s="13" t="s">
        <v>170</v>
      </c>
      <c r="S15" s="13" t="s">
        <v>170</v>
      </c>
    </row>
    <row r="16" spans="1:19" ht="30" customHeight="1" x14ac:dyDescent="0.25">
      <c r="A16" s="33" t="s">
        <v>79</v>
      </c>
      <c r="B16" s="17" t="s">
        <v>80</v>
      </c>
      <c r="C16" s="4">
        <f>_xlfn.XLOOKUP(B16,Lookups!G:G,Lookups!H:H,"",0,1)</f>
        <v>3</v>
      </c>
      <c r="D16" s="4" t="str">
        <f>_xlfn.XLOOKUP(C16,[1]Sheet2!$A$2:$A$11,[1]Sheet2!$B$2:$B$11,"Not found")</f>
        <v>within 30 days</v>
      </c>
      <c r="E16" s="4"/>
      <c r="F16" s="13" t="str">
        <f>_xlfn.XLOOKUP(B16,'Holiday Inn Express'!B:B,'Holiday Inn Express'!F:F,"",0,1)</f>
        <v>Self-paced Online Learning (15 Minutes).</v>
      </c>
      <c r="G16" s="13" t="s">
        <v>170</v>
      </c>
      <c r="H16" s="13" t="s">
        <v>170</v>
      </c>
      <c r="I16" s="13" t="s">
        <v>170</v>
      </c>
      <c r="J16" s="13" t="s">
        <v>170</v>
      </c>
      <c r="K16" s="13" t="s">
        <v>170</v>
      </c>
      <c r="L16" s="13" t="s">
        <v>170</v>
      </c>
      <c r="M16" s="13" t="s">
        <v>170</v>
      </c>
      <c r="N16" s="13" t="s">
        <v>170</v>
      </c>
      <c r="O16" s="13" t="s">
        <v>170</v>
      </c>
      <c r="P16" s="13" t="s">
        <v>170</v>
      </c>
      <c r="Q16" s="13" t="s">
        <v>170</v>
      </c>
      <c r="R16" s="13" t="s">
        <v>170</v>
      </c>
      <c r="S16" s="13" t="s">
        <v>170</v>
      </c>
    </row>
    <row r="17" spans="1:19" ht="30" customHeight="1" x14ac:dyDescent="0.25">
      <c r="A17" s="33" t="s">
        <v>81</v>
      </c>
      <c r="B17" s="17" t="s">
        <v>82</v>
      </c>
      <c r="C17" s="4">
        <f>_xlfn.XLOOKUP(B17,Lookups!G:G,Lookups!H:H,"",0,1)</f>
        <v>3</v>
      </c>
      <c r="D17" s="4" t="str">
        <f>_xlfn.XLOOKUP(C17,[1]Sheet2!$A$2:$A$11,[1]Sheet2!$B$2:$B$11,"Not found")</f>
        <v>within 30 days</v>
      </c>
      <c r="E17" s="4"/>
      <c r="F17" s="13" t="str">
        <f>_xlfn.XLOOKUP(B17,'Holiday Inn Express'!B:B,'Holiday Inn Express'!F:F,"",0,1)</f>
        <v>Self-paced Online Learning (20 Minutes).</v>
      </c>
      <c r="G17" s="13" t="s">
        <v>170</v>
      </c>
      <c r="H17" s="13" t="s">
        <v>170</v>
      </c>
      <c r="I17" s="13" t="s">
        <v>170</v>
      </c>
      <c r="J17" s="13" t="s">
        <v>170</v>
      </c>
      <c r="K17" s="13" t="s">
        <v>170</v>
      </c>
      <c r="L17" s="13" t="s">
        <v>170</v>
      </c>
      <c r="M17" s="13" t="s">
        <v>170</v>
      </c>
      <c r="N17" s="13" t="s">
        <v>170</v>
      </c>
      <c r="O17" s="13" t="s">
        <v>170</v>
      </c>
      <c r="P17" s="13" t="s">
        <v>170</v>
      </c>
      <c r="Q17" s="13" t="s">
        <v>170</v>
      </c>
      <c r="R17" s="13" t="s">
        <v>170</v>
      </c>
      <c r="S17" s="13" t="s">
        <v>170</v>
      </c>
    </row>
    <row r="18" spans="1:19" ht="30" customHeight="1" x14ac:dyDescent="0.25">
      <c r="A18" s="33" t="s">
        <v>83</v>
      </c>
      <c r="B18" s="17" t="s">
        <v>84</v>
      </c>
      <c r="C18" s="4">
        <f>_xlfn.XLOOKUP(B18,Lookups!G:G,Lookups!H:H,"",0,1)</f>
        <v>10</v>
      </c>
      <c r="D18" s="4" t="str">
        <f>_xlfn.XLOOKUP(C18,[1]Sheet2!$A$2:$A$11,[1]Sheet2!$B$2:$B$11,"Not found")</f>
        <v>Suggested Learning</v>
      </c>
      <c r="E18" s="4"/>
      <c r="F18" s="13" t="str">
        <f>_xlfn.XLOOKUP(B18,'Holiday Inn Express'!B:B,'Holiday Inn Express'!F:F,"",0,1)</f>
        <v>Self-paced Online Learning.</v>
      </c>
      <c r="G18" s="13" t="s">
        <v>170</v>
      </c>
      <c r="H18" s="13" t="s">
        <v>170</v>
      </c>
      <c r="I18" s="13" t="s">
        <v>170</v>
      </c>
      <c r="J18" s="13" t="s">
        <v>170</v>
      </c>
      <c r="K18" s="13" t="s">
        <v>170</v>
      </c>
      <c r="L18" s="13" t="s">
        <v>170</v>
      </c>
      <c r="M18" s="13" t="s">
        <v>170</v>
      </c>
      <c r="N18" s="13" t="s">
        <v>170</v>
      </c>
      <c r="O18" s="13" t="s">
        <v>169</v>
      </c>
      <c r="P18" s="13" t="s">
        <v>169</v>
      </c>
      <c r="Q18" s="13" t="s">
        <v>169</v>
      </c>
      <c r="R18" s="13" t="s">
        <v>170</v>
      </c>
      <c r="S18" s="13" t="s">
        <v>170</v>
      </c>
    </row>
    <row r="19" spans="1:19" ht="30" customHeight="1" x14ac:dyDescent="0.25">
      <c r="A19" s="33" t="s">
        <v>85</v>
      </c>
      <c r="B19" s="17" t="s">
        <v>86</v>
      </c>
      <c r="C19" s="4">
        <f>_xlfn.XLOOKUP(B19,Lookups!G:G,Lookups!H:H,"",0,1)</f>
        <v>10</v>
      </c>
      <c r="D19" s="4" t="str">
        <f>_xlfn.XLOOKUP(C19,[1]Sheet2!$A$2:$A$11,[1]Sheet2!$B$2:$B$11,"Not found")</f>
        <v>Suggested Learning</v>
      </c>
      <c r="E19" s="4"/>
      <c r="F19" s="13" t="str">
        <f>_xlfn.XLOOKUP(B19,'Holiday Inn Express'!B:B,'Holiday Inn Express'!F:F,"",0,1)</f>
        <v>Self-paced Online Learning.</v>
      </c>
      <c r="G19" s="13" t="s">
        <v>170</v>
      </c>
      <c r="H19" s="13" t="s">
        <v>169</v>
      </c>
      <c r="I19" s="13" t="s">
        <v>169</v>
      </c>
      <c r="J19" s="13" t="s">
        <v>170</v>
      </c>
      <c r="K19" s="13" t="s">
        <v>169</v>
      </c>
      <c r="L19" s="13" t="s">
        <v>169</v>
      </c>
      <c r="M19" s="13" t="s">
        <v>169</v>
      </c>
      <c r="N19" s="13" t="s">
        <v>170</v>
      </c>
      <c r="O19" s="13" t="s">
        <v>169</v>
      </c>
      <c r="P19" s="13" t="s">
        <v>169</v>
      </c>
      <c r="Q19" s="13" t="s">
        <v>169</v>
      </c>
      <c r="R19" s="13" t="s">
        <v>169</v>
      </c>
      <c r="S19" s="13" t="s">
        <v>169</v>
      </c>
    </row>
    <row r="20" spans="1:19" ht="30" customHeight="1" x14ac:dyDescent="0.25">
      <c r="A20" s="33" t="s">
        <v>87</v>
      </c>
      <c r="B20" s="15" t="s">
        <v>88</v>
      </c>
      <c r="C20" s="4">
        <f>_xlfn.XLOOKUP(B20,Lookups!G:G,Lookups!H:H,"",0,1)</f>
        <v>3</v>
      </c>
      <c r="D20" s="4" t="str">
        <f>_xlfn.XLOOKUP(C20,[1]Sheet2!$A$2:$A$11,[1]Sheet2!$B$2:$B$11,"Not found")</f>
        <v>within 30 days</v>
      </c>
      <c r="E20" s="4"/>
      <c r="F20" s="13" t="str">
        <f>_xlfn.XLOOKUP(B20,'Holiday Inn Express'!B:B,'Holiday Inn Express'!F:F,"",0,1)</f>
        <v xml:space="preserve">Hotel-led in-person training (On-Job-Training, OJT) is permitted &amp; completions must be tracked in myLearning. </v>
      </c>
      <c r="G20" s="13" t="s">
        <v>169</v>
      </c>
      <c r="H20" s="13" t="s">
        <v>169</v>
      </c>
      <c r="I20" s="13" t="s">
        <v>169</v>
      </c>
      <c r="J20" s="13" t="s">
        <v>169</v>
      </c>
      <c r="K20" s="13" t="s">
        <v>170</v>
      </c>
      <c r="L20" s="13" t="s">
        <v>169</v>
      </c>
      <c r="M20" s="13" t="s">
        <v>169</v>
      </c>
      <c r="N20" s="13" t="s">
        <v>169</v>
      </c>
      <c r="O20" s="13" t="s">
        <v>170</v>
      </c>
      <c r="P20" s="13" t="s">
        <v>170</v>
      </c>
      <c r="Q20" s="13" t="s">
        <v>169</v>
      </c>
      <c r="R20" s="13" t="s">
        <v>169</v>
      </c>
      <c r="S20" s="13" t="s">
        <v>169</v>
      </c>
    </row>
    <row r="21" spans="1:19" ht="30" customHeight="1" x14ac:dyDescent="0.25">
      <c r="A21" s="33" t="s">
        <v>89</v>
      </c>
      <c r="B21" s="16" t="s">
        <v>90</v>
      </c>
      <c r="C21" s="4">
        <f>_xlfn.XLOOKUP(B21,Lookups!G:G,Lookups!H:H,"",0,1)</f>
        <v>3</v>
      </c>
      <c r="D21" s="4" t="str">
        <f>_xlfn.XLOOKUP(C21,[1]Sheet2!$A$2:$A$11,[1]Sheet2!$B$2:$B$11,"Not found")</f>
        <v>within 30 days</v>
      </c>
      <c r="E21" s="4"/>
      <c r="F21" s="13" t="str">
        <f>_xlfn.XLOOKUP(B21,'Holiday Inn Express'!B:B,'Holiday Inn Express'!F:F,"",0,1)</f>
        <v xml:space="preserve">Self-paced Online Learning (20 Minutes). Hotel-led in-person training (On-Job-Training, OJT) is permitted &amp; completions must be tracked in myLearning. </v>
      </c>
      <c r="G21" s="13" t="s">
        <v>170</v>
      </c>
      <c r="H21" s="13" t="s">
        <v>170</v>
      </c>
      <c r="I21" s="13" t="s">
        <v>170</v>
      </c>
      <c r="J21" s="13" t="s">
        <v>170</v>
      </c>
      <c r="K21" s="13" t="s">
        <v>169</v>
      </c>
      <c r="L21" s="13" t="s">
        <v>170</v>
      </c>
      <c r="M21" s="13" t="s">
        <v>170</v>
      </c>
      <c r="N21" s="13" t="s">
        <v>170</v>
      </c>
      <c r="O21" s="13" t="s">
        <v>169</v>
      </c>
      <c r="P21" s="13" t="s">
        <v>169</v>
      </c>
      <c r="Q21" s="13" t="s">
        <v>170</v>
      </c>
      <c r="R21" s="13" t="s">
        <v>170</v>
      </c>
      <c r="S21" s="13" t="s">
        <v>170</v>
      </c>
    </row>
    <row r="22" spans="1:19" ht="30" customHeight="1" x14ac:dyDescent="0.25">
      <c r="A22" s="33" t="s">
        <v>91</v>
      </c>
      <c r="B22" s="17" t="s">
        <v>92</v>
      </c>
      <c r="C22" s="4">
        <f>_xlfn.XLOOKUP(B22,Lookups!G:G,Lookups!H:H,"",0,1)</f>
        <v>10</v>
      </c>
      <c r="D22" s="4" t="str">
        <f>_xlfn.XLOOKUP(C22,[1]Sheet2!$A$2:$A$11,[1]Sheet2!$B$2:$B$11,"Not found")</f>
        <v>Suggested Learning</v>
      </c>
      <c r="E22" s="4"/>
      <c r="F22" s="13" t="str">
        <f>_xlfn.XLOOKUP(B22,'Holiday Inn Express'!B:B,'Holiday Inn Express'!F:F,"",0,1)</f>
        <v>Self-paced Online Learning.</v>
      </c>
      <c r="G22" s="13" t="s">
        <v>170</v>
      </c>
      <c r="H22" s="13" t="s">
        <v>170</v>
      </c>
      <c r="I22" s="13" t="s">
        <v>170</v>
      </c>
      <c r="J22" s="13" t="s">
        <v>170</v>
      </c>
      <c r="K22" s="13" t="s">
        <v>169</v>
      </c>
      <c r="L22" s="13" t="s">
        <v>169</v>
      </c>
      <c r="M22" s="13" t="s">
        <v>169</v>
      </c>
      <c r="N22" s="13" t="s">
        <v>169</v>
      </c>
      <c r="O22" s="13" t="s">
        <v>169</v>
      </c>
      <c r="P22" s="13" t="s">
        <v>169</v>
      </c>
      <c r="Q22" s="13" t="s">
        <v>169</v>
      </c>
      <c r="R22" s="13" t="s">
        <v>169</v>
      </c>
      <c r="S22" s="13" t="s">
        <v>169</v>
      </c>
    </row>
    <row r="23" spans="1:19" ht="30" customHeight="1" x14ac:dyDescent="0.25">
      <c r="A23" s="33" t="s">
        <v>93</v>
      </c>
      <c r="B23" s="17" t="s">
        <v>94</v>
      </c>
      <c r="C23" s="4">
        <f>_xlfn.XLOOKUP(B23,Lookups!G:G,Lookups!H:H,"",0,1)</f>
        <v>10</v>
      </c>
      <c r="D23" s="4" t="str">
        <f>_xlfn.XLOOKUP(C23,[1]Sheet2!$A$2:$A$11,[1]Sheet2!$B$2:$B$11,"Not found")</f>
        <v>Suggested Learning</v>
      </c>
      <c r="E23" s="4"/>
      <c r="F23" s="13" t="str">
        <f>_xlfn.XLOOKUP(B23,'Holiday Inn Express'!B:B,'Holiday Inn Express'!F:F,"",0,1)</f>
        <v>Self-paced Online Learning.</v>
      </c>
      <c r="G23" s="13" t="s">
        <v>170</v>
      </c>
      <c r="H23" s="13" t="s">
        <v>169</v>
      </c>
      <c r="I23" s="13" t="s">
        <v>169</v>
      </c>
      <c r="J23" s="13" t="s">
        <v>169</v>
      </c>
      <c r="K23" s="13" t="s">
        <v>169</v>
      </c>
      <c r="L23" s="13" t="s">
        <v>169</v>
      </c>
      <c r="M23" s="13" t="s">
        <v>169</v>
      </c>
      <c r="N23" s="13" t="s">
        <v>169</v>
      </c>
      <c r="O23" s="13" t="s">
        <v>169</v>
      </c>
      <c r="P23" s="13" t="s">
        <v>169</v>
      </c>
      <c r="Q23" s="13" t="s">
        <v>169</v>
      </c>
      <c r="R23" s="13" t="s">
        <v>169</v>
      </c>
      <c r="S23" s="13" t="s">
        <v>169</v>
      </c>
    </row>
    <row r="24" spans="1:19" ht="30" customHeight="1" x14ac:dyDescent="0.25">
      <c r="A24" s="33" t="s">
        <v>95</v>
      </c>
      <c r="B24" s="17" t="s">
        <v>96</v>
      </c>
      <c r="C24" s="4">
        <f>_xlfn.XLOOKUP(B24,Lookups!G:G,Lookups!H:H,"",0,1)</f>
        <v>10</v>
      </c>
      <c r="D24" s="4" t="str">
        <f>_xlfn.XLOOKUP(C24,[1]Sheet2!$A$2:$A$11,[1]Sheet2!$B$2:$B$11,"Not found")</f>
        <v>Suggested Learning</v>
      </c>
      <c r="E24" s="4"/>
      <c r="F24" s="13" t="str">
        <f>_xlfn.XLOOKUP(B24,'Holiday Inn Express'!B:B,'Holiday Inn Express'!F:F,"",0,1)</f>
        <v>Self-paced Online Learning.</v>
      </c>
      <c r="G24" s="13" t="s">
        <v>170</v>
      </c>
      <c r="H24" s="13" t="s">
        <v>169</v>
      </c>
      <c r="I24" s="13" t="s">
        <v>169</v>
      </c>
      <c r="J24" s="13" t="s">
        <v>169</v>
      </c>
      <c r="K24" s="13" t="s">
        <v>169</v>
      </c>
      <c r="L24" s="13" t="s">
        <v>169</v>
      </c>
      <c r="M24" s="13" t="s">
        <v>169</v>
      </c>
      <c r="N24" s="13" t="s">
        <v>169</v>
      </c>
      <c r="O24" s="13" t="s">
        <v>169</v>
      </c>
      <c r="P24" s="13" t="s">
        <v>169</v>
      </c>
      <c r="Q24" s="13" t="s">
        <v>169</v>
      </c>
      <c r="R24" s="13" t="s">
        <v>169</v>
      </c>
      <c r="S24" s="13" t="s">
        <v>169</v>
      </c>
    </row>
    <row r="25" spans="1:19" ht="30" customHeight="1" x14ac:dyDescent="0.25">
      <c r="A25" s="33" t="s">
        <v>97</v>
      </c>
      <c r="B25" s="17" t="s">
        <v>98</v>
      </c>
      <c r="C25" s="4">
        <f>_xlfn.XLOOKUP(B25,Lookups!G:G,Lookups!H:H,"",0,1)</f>
        <v>10</v>
      </c>
      <c r="D25" s="4" t="str">
        <f>_xlfn.XLOOKUP(C25,[1]Sheet2!$A$2:$A$11,[1]Sheet2!$B$2:$B$11,"Not found")</f>
        <v>Suggested Learning</v>
      </c>
      <c r="E25" s="4"/>
      <c r="F25" s="13" t="str">
        <f>_xlfn.XLOOKUP(B25,'Holiday Inn Express'!B:B,'Holiday Inn Express'!F:F,"",0,1)</f>
        <v>Self-paced Online Learning.</v>
      </c>
      <c r="G25" s="13" t="s">
        <v>170</v>
      </c>
      <c r="H25" s="13" t="s">
        <v>169</v>
      </c>
      <c r="I25" s="13" t="s">
        <v>169</v>
      </c>
      <c r="J25" s="13" t="s">
        <v>169</v>
      </c>
      <c r="K25" s="13" t="s">
        <v>169</v>
      </c>
      <c r="L25" s="13" t="s">
        <v>169</v>
      </c>
      <c r="M25" s="13" t="s">
        <v>169</v>
      </c>
      <c r="N25" s="13" t="s">
        <v>169</v>
      </c>
      <c r="O25" s="13" t="s">
        <v>169</v>
      </c>
      <c r="P25" s="13" t="s">
        <v>169</v>
      </c>
      <c r="Q25" s="13" t="s">
        <v>169</v>
      </c>
      <c r="R25" s="13" t="s">
        <v>169</v>
      </c>
      <c r="S25" s="13" t="s">
        <v>169</v>
      </c>
    </row>
    <row r="26" spans="1:19" ht="30" customHeight="1" x14ac:dyDescent="0.25">
      <c r="A26" s="33" t="s">
        <v>99</v>
      </c>
      <c r="B26" s="17" t="s">
        <v>100</v>
      </c>
      <c r="C26" s="4">
        <f>_xlfn.XLOOKUP(B26,Lookups!G:G,Lookups!H:H,"",0,1)</f>
        <v>10</v>
      </c>
      <c r="D26" s="4" t="str">
        <f>_xlfn.XLOOKUP(C26,[1]Sheet2!$A$2:$A$11,[1]Sheet2!$B$2:$B$11,"Not found")</f>
        <v>Suggested Learning</v>
      </c>
      <c r="E26" s="4"/>
      <c r="F26" s="13" t="str">
        <f>_xlfn.XLOOKUP(B26,'Holiday Inn Express'!B:B,'Holiday Inn Express'!F:F,"",0,1)</f>
        <v>Self-paced Online Learning.</v>
      </c>
      <c r="G26" s="13" t="s">
        <v>170</v>
      </c>
      <c r="H26" s="13" t="s">
        <v>169</v>
      </c>
      <c r="I26" s="13" t="s">
        <v>169</v>
      </c>
      <c r="J26" s="13" t="s">
        <v>169</v>
      </c>
      <c r="K26" s="13" t="s">
        <v>169</v>
      </c>
      <c r="L26" s="13" t="s">
        <v>169</v>
      </c>
      <c r="M26" s="13" t="s">
        <v>169</v>
      </c>
      <c r="N26" s="13" t="s">
        <v>169</v>
      </c>
      <c r="O26" s="13" t="s">
        <v>169</v>
      </c>
      <c r="P26" s="13" t="s">
        <v>169</v>
      </c>
      <c r="Q26" s="13" t="s">
        <v>169</v>
      </c>
      <c r="R26" s="13" t="s">
        <v>169</v>
      </c>
      <c r="S26" s="13" t="s">
        <v>169</v>
      </c>
    </row>
    <row r="27" spans="1:19" ht="30" customHeight="1" x14ac:dyDescent="0.25">
      <c r="A27" s="33" t="s">
        <v>101</v>
      </c>
      <c r="B27" s="17" t="s">
        <v>102</v>
      </c>
      <c r="C27" s="4">
        <f>_xlfn.XLOOKUP(B27,Lookups!G:G,Lookups!H:H,"",0,1)</f>
        <v>10</v>
      </c>
      <c r="D27" s="4" t="str">
        <f>_xlfn.XLOOKUP(C27,[1]Sheet2!$A$2:$A$11,[1]Sheet2!$B$2:$B$11,"Not found")</f>
        <v>Suggested Learning</v>
      </c>
      <c r="E27" s="4"/>
      <c r="F27" s="13" t="str">
        <f>_xlfn.XLOOKUP(B27,'Holiday Inn Express'!B:B,'Holiday Inn Express'!F:F,"",0,1)</f>
        <v>Self-paced Online Learning.</v>
      </c>
      <c r="G27" s="13" t="s">
        <v>170</v>
      </c>
      <c r="H27" s="13" t="s">
        <v>170</v>
      </c>
      <c r="I27" s="13" t="s">
        <v>170</v>
      </c>
      <c r="J27" s="13" t="s">
        <v>170</v>
      </c>
      <c r="K27" s="13" t="s">
        <v>169</v>
      </c>
      <c r="L27" s="13" t="s">
        <v>169</v>
      </c>
      <c r="M27" s="13" t="s">
        <v>169</v>
      </c>
      <c r="N27" s="13" t="s">
        <v>169</v>
      </c>
      <c r="O27" s="13" t="s">
        <v>169</v>
      </c>
      <c r="P27" s="13" t="s">
        <v>169</v>
      </c>
      <c r="Q27" s="13" t="s">
        <v>169</v>
      </c>
      <c r="R27" s="13" t="s">
        <v>169</v>
      </c>
      <c r="S27" s="13" t="s">
        <v>169</v>
      </c>
    </row>
    <row r="28" spans="1:19" ht="30" customHeight="1" x14ac:dyDescent="0.25">
      <c r="A28" s="33" t="s">
        <v>103</v>
      </c>
      <c r="B28" s="17" t="s">
        <v>104</v>
      </c>
      <c r="C28" s="4">
        <f>_xlfn.XLOOKUP(B28,Lookups!G:G,Lookups!H:H,"",0,1)</f>
        <v>10</v>
      </c>
      <c r="D28" s="4" t="str">
        <f>_xlfn.XLOOKUP(C28,[1]Sheet2!$A$2:$A$11,[1]Sheet2!$B$2:$B$11,"Not found")</f>
        <v>Suggested Learning</v>
      </c>
      <c r="E28" s="4"/>
      <c r="F28" s="13" t="str">
        <f>_xlfn.XLOOKUP(B28,'Holiday Inn Express'!B:B,'Holiday Inn Express'!F:F,"",0,1)</f>
        <v>Self-paced Online Learning (5 Minutes).</v>
      </c>
      <c r="G28" s="13" t="s">
        <v>170</v>
      </c>
      <c r="H28" s="13" t="s">
        <v>170</v>
      </c>
      <c r="I28" s="13" t="s">
        <v>170</v>
      </c>
      <c r="J28" s="13" t="s">
        <v>170</v>
      </c>
      <c r="K28" s="13" t="s">
        <v>169</v>
      </c>
      <c r="L28" s="13" t="s">
        <v>169</v>
      </c>
      <c r="M28" s="13" t="s">
        <v>169</v>
      </c>
      <c r="N28" s="13" t="s">
        <v>169</v>
      </c>
      <c r="O28" s="13" t="s">
        <v>169</v>
      </c>
      <c r="P28" s="13" t="s">
        <v>169</v>
      </c>
      <c r="Q28" s="13" t="s">
        <v>169</v>
      </c>
      <c r="R28" s="13" t="s">
        <v>169</v>
      </c>
      <c r="S28" s="13" t="s">
        <v>169</v>
      </c>
    </row>
    <row r="29" spans="1:19" ht="30" customHeight="1" x14ac:dyDescent="0.25">
      <c r="A29" s="33" t="s">
        <v>105</v>
      </c>
      <c r="B29" s="17" t="s">
        <v>106</v>
      </c>
      <c r="C29" s="4">
        <f>_xlfn.XLOOKUP(B29,Lookups!G:G,Lookups!H:H,"",0,1)</f>
        <v>10</v>
      </c>
      <c r="D29" s="4" t="str">
        <f>_xlfn.XLOOKUP(C29,[1]Sheet2!$A$2:$A$11,[1]Sheet2!$B$2:$B$11,"Not found")</f>
        <v>Suggested Learning</v>
      </c>
      <c r="E29" s="4"/>
      <c r="F29" s="13" t="str">
        <f>_xlfn.XLOOKUP(B29,'Holiday Inn Express'!B:B,'Holiday Inn Express'!F:F,"",0,1)</f>
        <v>Self-paced Online Learning (25 Minutes).</v>
      </c>
      <c r="G29" s="13" t="s">
        <v>170</v>
      </c>
      <c r="H29" s="13" t="s">
        <v>170</v>
      </c>
      <c r="I29" s="13" t="s">
        <v>169</v>
      </c>
      <c r="J29" s="13" t="s">
        <v>169</v>
      </c>
      <c r="K29" s="13" t="s">
        <v>169</v>
      </c>
      <c r="L29" s="13" t="s">
        <v>169</v>
      </c>
      <c r="M29" s="13" t="s">
        <v>169</v>
      </c>
      <c r="N29" s="13" t="s">
        <v>169</v>
      </c>
      <c r="O29" s="13" t="s">
        <v>169</v>
      </c>
      <c r="P29" s="13" t="s">
        <v>169</v>
      </c>
      <c r="Q29" s="13" t="s">
        <v>169</v>
      </c>
      <c r="R29" s="13" t="s">
        <v>169</v>
      </c>
      <c r="S29" s="13" t="s">
        <v>169</v>
      </c>
    </row>
    <row r="30" spans="1:19" ht="30" customHeight="1" x14ac:dyDescent="0.25">
      <c r="A30" s="49" t="s">
        <v>250</v>
      </c>
      <c r="B30" s="32" t="s">
        <v>251</v>
      </c>
      <c r="C30" s="4">
        <v>5</v>
      </c>
      <c r="D30" s="4" t="s">
        <v>176</v>
      </c>
      <c r="E30" s="4"/>
      <c r="F30" s="13" t="str">
        <f>_xlfn.XLOOKUP(B30,'Holiday Inn Express'!B:B,'Holiday Inn Express'!F:F,"",0,1)</f>
        <v>Self-paced Online Learning (1 Hour 30 Minutes).</v>
      </c>
      <c r="G30" s="13" t="s">
        <v>170</v>
      </c>
      <c r="H30" s="13" t="s">
        <v>170</v>
      </c>
      <c r="I30" s="13" t="s">
        <v>169</v>
      </c>
      <c r="J30" s="13" t="s">
        <v>169</v>
      </c>
      <c r="K30" s="13" t="s">
        <v>169</v>
      </c>
      <c r="L30" s="13" t="s">
        <v>169</v>
      </c>
      <c r="M30" s="13" t="s">
        <v>169</v>
      </c>
      <c r="N30" s="13" t="s">
        <v>169</v>
      </c>
      <c r="O30" s="13" t="s">
        <v>169</v>
      </c>
      <c r="P30" s="13" t="s">
        <v>169</v>
      </c>
      <c r="Q30" s="13" t="s">
        <v>169</v>
      </c>
      <c r="R30" s="13" t="s">
        <v>169</v>
      </c>
      <c r="S30" s="13" t="s">
        <v>169</v>
      </c>
    </row>
    <row r="31" spans="1:19" ht="30" customHeight="1" x14ac:dyDescent="0.25">
      <c r="A31" s="33" t="s">
        <v>107</v>
      </c>
      <c r="B31" s="17" t="s">
        <v>108</v>
      </c>
      <c r="C31" s="4">
        <f>_xlfn.XLOOKUP(B31,Lookups!G:G,Lookups!H:H,"",0,1)</f>
        <v>10</v>
      </c>
      <c r="D31" s="4" t="str">
        <f>_xlfn.XLOOKUP(C31,[1]Sheet2!$A$2:$A$11,[1]Sheet2!$B$2:$B$11,"Not found")</f>
        <v>Suggested Learning</v>
      </c>
      <c r="E31" s="4"/>
      <c r="F31" s="13" t="str">
        <f>_xlfn.XLOOKUP(B31,'Holiday Inn Express'!B:B,'Holiday Inn Express'!F:F,"",0,1)</f>
        <v>Self-paced Online Learning.</v>
      </c>
      <c r="G31" s="13" t="s">
        <v>170</v>
      </c>
      <c r="H31" s="13" t="s">
        <v>170</v>
      </c>
      <c r="I31" s="13" t="s">
        <v>169</v>
      </c>
      <c r="J31" s="13" t="s">
        <v>169</v>
      </c>
      <c r="K31" s="13" t="s">
        <v>169</v>
      </c>
      <c r="L31" s="13" t="s">
        <v>169</v>
      </c>
      <c r="M31" s="13" t="s">
        <v>169</v>
      </c>
      <c r="N31" s="13" t="s">
        <v>169</v>
      </c>
      <c r="O31" s="13" t="s">
        <v>169</v>
      </c>
      <c r="P31" s="13" t="s">
        <v>169</v>
      </c>
      <c r="Q31" s="13" t="s">
        <v>169</v>
      </c>
      <c r="R31" s="13" t="s">
        <v>169</v>
      </c>
      <c r="S31" s="13" t="s">
        <v>169</v>
      </c>
    </row>
    <row r="32" spans="1:19" ht="30" customHeight="1" x14ac:dyDescent="0.25">
      <c r="A32" s="33" t="s">
        <v>109</v>
      </c>
      <c r="B32" s="12" t="s">
        <v>110</v>
      </c>
      <c r="C32" s="4">
        <f>_xlfn.XLOOKUP(B32,Lookups!G:G,Lookups!H:H,"",0,1)</f>
        <v>6</v>
      </c>
      <c r="D32" s="4" t="str">
        <f>_xlfn.XLOOKUP(C32,[1]Sheet2!$A$2:$A$11,[1]Sheet2!$B$2:$B$11,"Not found")</f>
        <v>within 120 days</v>
      </c>
      <c r="E32" s="4"/>
      <c r="F32" s="13" t="str">
        <f>_xlfn.XLOOKUP(B32,'Holiday Inn Express'!B:B,'Holiday Inn Express'!F:F,"",0,1)</f>
        <v>In-person Instructor Led Course (see available dates &amp; times by clicking the link below). Prerequisite:  Must Complete Sales Learning Pathway</v>
      </c>
      <c r="G32" s="13" t="s">
        <v>170</v>
      </c>
      <c r="H32" s="13" t="s">
        <v>170</v>
      </c>
      <c r="I32" s="13" t="s">
        <v>169</v>
      </c>
      <c r="J32" s="13" t="s">
        <v>169</v>
      </c>
      <c r="K32" s="13" t="s">
        <v>169</v>
      </c>
      <c r="L32" s="13" t="s">
        <v>169</v>
      </c>
      <c r="M32" s="13" t="s">
        <v>169</v>
      </c>
      <c r="N32" s="13" t="s">
        <v>169</v>
      </c>
      <c r="O32" s="13" t="s">
        <v>169</v>
      </c>
      <c r="P32" s="13" t="s">
        <v>169</v>
      </c>
      <c r="Q32" s="13" t="s">
        <v>169</v>
      </c>
      <c r="R32" s="13" t="s">
        <v>169</v>
      </c>
      <c r="S32" s="13" t="s">
        <v>169</v>
      </c>
    </row>
    <row r="33" spans="1:19" ht="30" customHeight="1" x14ac:dyDescent="0.25">
      <c r="A33" s="33" t="s">
        <v>111</v>
      </c>
      <c r="B33" s="17" t="s">
        <v>112</v>
      </c>
      <c r="C33" s="4">
        <f>_xlfn.XLOOKUP(B33,Lookups!G:G,Lookups!H:H,"",0,1)</f>
        <v>10</v>
      </c>
      <c r="D33" s="4" t="str">
        <f>_xlfn.XLOOKUP(C33,[1]Sheet2!$A$2:$A$11,[1]Sheet2!$B$2:$B$11,"Not found")</f>
        <v>Suggested Learning</v>
      </c>
      <c r="E33" s="4"/>
      <c r="F33" s="13" t="str">
        <f>_xlfn.XLOOKUP(B33,'Holiday Inn Express'!B:B,'Holiday Inn Express'!F:F,"",0,1)</f>
        <v>Self-paced Online Learning.</v>
      </c>
      <c r="G33" s="13" t="s">
        <v>170</v>
      </c>
      <c r="H33" s="13" t="s">
        <v>169</v>
      </c>
      <c r="I33" s="13" t="s">
        <v>170</v>
      </c>
      <c r="J33" s="13" t="s">
        <v>169</v>
      </c>
      <c r="K33" s="13" t="s">
        <v>169</v>
      </c>
      <c r="L33" s="13" t="s">
        <v>169</v>
      </c>
      <c r="M33" s="13" t="s">
        <v>169</v>
      </c>
      <c r="N33" s="13" t="s">
        <v>169</v>
      </c>
      <c r="O33" s="13" t="s">
        <v>169</v>
      </c>
      <c r="P33" s="13" t="s">
        <v>169</v>
      </c>
      <c r="Q33" s="13" t="s">
        <v>169</v>
      </c>
      <c r="R33" s="13" t="s">
        <v>169</v>
      </c>
      <c r="S33" s="13" t="s">
        <v>169</v>
      </c>
    </row>
    <row r="34" spans="1:19" ht="30" customHeight="1" x14ac:dyDescent="0.25">
      <c r="A34" s="33" t="s">
        <v>113</v>
      </c>
      <c r="B34" s="17" t="s">
        <v>114</v>
      </c>
      <c r="C34" s="4">
        <f>_xlfn.XLOOKUP(B34,Lookups!G:G,Lookups!H:H,"",0,1)</f>
        <v>10</v>
      </c>
      <c r="D34" s="4" t="str">
        <f>_xlfn.XLOOKUP(C34,[1]Sheet2!$A$2:$A$11,[1]Sheet2!$B$2:$B$11,"Not found")</f>
        <v>Suggested Learning</v>
      </c>
      <c r="E34" s="4"/>
      <c r="F34" s="13" t="str">
        <f>_xlfn.XLOOKUP(B34,'Holiday Inn Express'!B:B,'Holiday Inn Express'!F:F,"",0,1)</f>
        <v>Self-paced Online Learning.</v>
      </c>
      <c r="G34" s="13" t="s">
        <v>170</v>
      </c>
      <c r="H34" s="13" t="s">
        <v>169</v>
      </c>
      <c r="I34" s="13" t="s">
        <v>170</v>
      </c>
      <c r="J34" s="13" t="s">
        <v>169</v>
      </c>
      <c r="K34" s="13" t="s">
        <v>169</v>
      </c>
      <c r="L34" s="13" t="s">
        <v>169</v>
      </c>
      <c r="M34" s="13" t="s">
        <v>169</v>
      </c>
      <c r="N34" s="13" t="s">
        <v>169</v>
      </c>
      <c r="O34" s="13" t="s">
        <v>169</v>
      </c>
      <c r="P34" s="13" t="s">
        <v>169</v>
      </c>
      <c r="Q34" s="13" t="s">
        <v>169</v>
      </c>
      <c r="R34" s="13" t="s">
        <v>169</v>
      </c>
      <c r="S34" s="13" t="s">
        <v>169</v>
      </c>
    </row>
    <row r="35" spans="1:19" ht="30" customHeight="1" x14ac:dyDescent="0.25">
      <c r="A35" s="33" t="s">
        <v>115</v>
      </c>
      <c r="B35" s="17" t="s">
        <v>116</v>
      </c>
      <c r="C35" s="4">
        <f>_xlfn.XLOOKUP(B35,Lookups!G:G,Lookups!H:H,"",0,1)</f>
        <v>10</v>
      </c>
      <c r="D35" s="4" t="str">
        <f>_xlfn.XLOOKUP(C35,[1]Sheet2!$A$2:$A$11,[1]Sheet2!$B$2:$B$11,"Not found")</f>
        <v>Suggested Learning</v>
      </c>
      <c r="E35" s="4"/>
      <c r="F35" s="13" t="str">
        <f>_xlfn.XLOOKUP(B35,'Holiday Inn Express'!B:B,'Holiday Inn Express'!F:F,"",0,1)</f>
        <v>Self-paced Online Learning.</v>
      </c>
      <c r="G35" s="13" t="s">
        <v>170</v>
      </c>
      <c r="H35" s="13" t="s">
        <v>169</v>
      </c>
      <c r="I35" s="13" t="s">
        <v>170</v>
      </c>
      <c r="J35" s="13" t="s">
        <v>169</v>
      </c>
      <c r="K35" s="13" t="s">
        <v>169</v>
      </c>
      <c r="L35" s="13" t="s">
        <v>169</v>
      </c>
      <c r="M35" s="13" t="s">
        <v>169</v>
      </c>
      <c r="N35" s="13" t="s">
        <v>169</v>
      </c>
      <c r="O35" s="13" t="s">
        <v>169</v>
      </c>
      <c r="P35" s="13" t="s">
        <v>169</v>
      </c>
      <c r="Q35" s="13" t="s">
        <v>169</v>
      </c>
      <c r="R35" s="13" t="s">
        <v>169</v>
      </c>
      <c r="S35" s="13" t="s">
        <v>169</v>
      </c>
    </row>
    <row r="36" spans="1:19" ht="30" customHeight="1" x14ac:dyDescent="0.25">
      <c r="A36" s="33" t="s">
        <v>117</v>
      </c>
      <c r="B36" s="17" t="s">
        <v>118</v>
      </c>
      <c r="C36" s="4">
        <f>_xlfn.XLOOKUP(B36,Lookups!G:G,Lookups!H:H,"",0,1)</f>
        <v>10</v>
      </c>
      <c r="D36" s="4" t="str">
        <f>_xlfn.XLOOKUP(C36,[1]Sheet2!$A$2:$A$11,[1]Sheet2!$B$2:$B$11,"Not found")</f>
        <v>Suggested Learning</v>
      </c>
      <c r="E36" s="4"/>
      <c r="F36" s="13" t="str">
        <f>_xlfn.XLOOKUP(B36,'Holiday Inn Express'!B:B,'Holiday Inn Express'!F:F,"",0,1)</f>
        <v>Self-paced Online Learning.</v>
      </c>
      <c r="G36" s="13" t="s">
        <v>170</v>
      </c>
      <c r="H36" s="13" t="s">
        <v>169</v>
      </c>
      <c r="I36" s="13" t="s">
        <v>170</v>
      </c>
      <c r="J36" s="13" t="s">
        <v>169</v>
      </c>
      <c r="K36" s="13" t="s">
        <v>169</v>
      </c>
      <c r="L36" s="13" t="s">
        <v>169</v>
      </c>
      <c r="M36" s="13" t="s">
        <v>169</v>
      </c>
      <c r="N36" s="13" t="s">
        <v>169</v>
      </c>
      <c r="O36" s="13" t="s">
        <v>169</v>
      </c>
      <c r="P36" s="13" t="s">
        <v>169</v>
      </c>
      <c r="Q36" s="13" t="s">
        <v>169</v>
      </c>
      <c r="R36" s="13" t="s">
        <v>169</v>
      </c>
      <c r="S36" s="13" t="s">
        <v>169</v>
      </c>
    </row>
    <row r="37" spans="1:19" ht="30" customHeight="1" x14ac:dyDescent="0.25">
      <c r="A37" s="33" t="s">
        <v>119</v>
      </c>
      <c r="B37" s="17" t="s">
        <v>120</v>
      </c>
      <c r="C37" s="4">
        <f>_xlfn.XLOOKUP(B37,Lookups!G:G,Lookups!H:H,"",0,1)</f>
        <v>10</v>
      </c>
      <c r="D37" s="4" t="str">
        <f>_xlfn.XLOOKUP(C37,[1]Sheet2!$A$2:$A$11,[1]Sheet2!$B$2:$B$11,"Not found")</f>
        <v>Suggested Learning</v>
      </c>
      <c r="E37" s="4"/>
      <c r="F37" s="13" t="str">
        <f>_xlfn.XLOOKUP(B37,'Holiday Inn Express'!B:B,'Holiday Inn Express'!F:F,"",0,1)</f>
        <v>Self-paced Online Learning.</v>
      </c>
      <c r="G37" s="13" t="s">
        <v>170</v>
      </c>
      <c r="H37" s="13" t="s">
        <v>169</v>
      </c>
      <c r="I37" s="13" t="s">
        <v>170</v>
      </c>
      <c r="J37" s="13" t="s">
        <v>169</v>
      </c>
      <c r="K37" s="13" t="s">
        <v>169</v>
      </c>
      <c r="L37" s="13" t="s">
        <v>169</v>
      </c>
      <c r="M37" s="13" t="s">
        <v>169</v>
      </c>
      <c r="N37" s="13" t="s">
        <v>169</v>
      </c>
      <c r="O37" s="13" t="s">
        <v>169</v>
      </c>
      <c r="P37" s="13" t="s">
        <v>169</v>
      </c>
      <c r="Q37" s="13" t="s">
        <v>169</v>
      </c>
      <c r="R37" s="13" t="s">
        <v>169</v>
      </c>
      <c r="S37" s="13" t="s">
        <v>169</v>
      </c>
    </row>
    <row r="38" spans="1:19" ht="30" customHeight="1" x14ac:dyDescent="0.25">
      <c r="A38" s="33" t="s">
        <v>121</v>
      </c>
      <c r="B38" s="17" t="s">
        <v>307</v>
      </c>
      <c r="C38" s="4">
        <f>_xlfn.XLOOKUP(B38,Lookups!G:G,Lookups!H:H,"",0,1)</f>
        <v>10</v>
      </c>
      <c r="D38" s="4" t="str">
        <f>_xlfn.XLOOKUP(C38,[1]Sheet2!$A$2:$A$11,[1]Sheet2!$B$2:$B$11,"Not found")</f>
        <v>Suggested Learning</v>
      </c>
      <c r="E38" s="4"/>
      <c r="F38" s="13" t="str">
        <f>_xlfn.XLOOKUP(B38,'Holiday Inn Express'!B:B,'Holiday Inn Express'!F:F,"",0,1)</f>
        <v>Self-paced Online Learning.</v>
      </c>
      <c r="G38" s="13" t="s">
        <v>170</v>
      </c>
      <c r="H38" s="13" t="s">
        <v>169</v>
      </c>
      <c r="I38" s="13" t="s">
        <v>170</v>
      </c>
      <c r="J38" s="13" t="s">
        <v>169</v>
      </c>
      <c r="K38" s="13" t="s">
        <v>169</v>
      </c>
      <c r="L38" s="13" t="s">
        <v>169</v>
      </c>
      <c r="M38" s="13" t="s">
        <v>169</v>
      </c>
      <c r="N38" s="13" t="s">
        <v>169</v>
      </c>
      <c r="O38" s="13" t="s">
        <v>169</v>
      </c>
      <c r="P38" s="13" t="s">
        <v>169</v>
      </c>
      <c r="Q38" s="13" t="s">
        <v>169</v>
      </c>
      <c r="R38" s="13" t="s">
        <v>169</v>
      </c>
      <c r="S38" s="13" t="s">
        <v>169</v>
      </c>
    </row>
    <row r="39" spans="1:19" ht="30" customHeight="1" x14ac:dyDescent="0.25">
      <c r="A39" s="33" t="s">
        <v>122</v>
      </c>
      <c r="B39" s="17" t="s">
        <v>123</v>
      </c>
      <c r="C39" s="4">
        <f>_xlfn.XLOOKUP(B39,Lookups!G:G,Lookups!H:H,"",0,1)</f>
        <v>5</v>
      </c>
      <c r="D39" s="4" t="str">
        <f>_xlfn.XLOOKUP(C39,[1]Sheet2!$A$2:$A$11,[1]Sheet2!$B$2:$B$11,"Not found")</f>
        <v>within 90 days</v>
      </c>
      <c r="E39" s="4"/>
      <c r="F39" s="13" t="str">
        <f>_xlfn.XLOOKUP(B39,'Holiday Inn Express'!B:B,'Holiday Inn Express'!F:F,"",0,1)</f>
        <v/>
      </c>
      <c r="G39" s="13" t="s">
        <v>169</v>
      </c>
      <c r="H39" s="13" t="s">
        <v>169</v>
      </c>
      <c r="I39" s="13" t="s">
        <v>170</v>
      </c>
      <c r="J39" s="13" t="s">
        <v>169</v>
      </c>
      <c r="K39" s="13" t="s">
        <v>169</v>
      </c>
      <c r="L39" s="13" t="s">
        <v>169</v>
      </c>
      <c r="M39" s="13" t="s">
        <v>169</v>
      </c>
      <c r="N39" s="13" t="s">
        <v>169</v>
      </c>
      <c r="O39" s="13" t="s">
        <v>169</v>
      </c>
      <c r="P39" s="13" t="s">
        <v>169</v>
      </c>
      <c r="Q39" s="13" t="s">
        <v>169</v>
      </c>
      <c r="R39" s="13" t="s">
        <v>169</v>
      </c>
      <c r="S39" s="13" t="s">
        <v>169</v>
      </c>
    </row>
    <row r="40" spans="1:19" ht="30" customHeight="1" x14ac:dyDescent="0.25">
      <c r="A40" s="30" t="s">
        <v>124</v>
      </c>
      <c r="B40" s="8" t="s">
        <v>238</v>
      </c>
      <c r="C40" s="4">
        <v>7</v>
      </c>
      <c r="D40" s="4" t="s">
        <v>178</v>
      </c>
      <c r="E40" s="4"/>
      <c r="F40" s="13" t="str">
        <f>_xlfn.XLOOKUP(B40,'Holiday Inn Express'!B:B,'Holiday Inn Express'!F:F,"",0,1)</f>
        <v>Access to the system will automatically be given. For New Hotels - only to be completed after official hotel opening.</v>
      </c>
      <c r="G40" s="13" t="s">
        <v>170</v>
      </c>
      <c r="H40" s="13" t="s">
        <v>169</v>
      </c>
      <c r="I40" s="13" t="s">
        <v>169</v>
      </c>
      <c r="J40" s="13" t="s">
        <v>169</v>
      </c>
      <c r="K40" s="13" t="s">
        <v>169</v>
      </c>
      <c r="L40" s="13" t="s">
        <v>169</v>
      </c>
      <c r="M40" s="13" t="s">
        <v>169</v>
      </c>
      <c r="N40" s="13" t="s">
        <v>169</v>
      </c>
      <c r="O40" s="13" t="s">
        <v>169</v>
      </c>
      <c r="P40" s="13" t="s">
        <v>169</v>
      </c>
      <c r="Q40" s="13" t="s">
        <v>169</v>
      </c>
      <c r="R40" s="13" t="s">
        <v>169</v>
      </c>
      <c r="S40" s="13" t="s">
        <v>169</v>
      </c>
    </row>
    <row r="41" spans="1:19" ht="30" customHeight="1" x14ac:dyDescent="0.25">
      <c r="A41" s="30" t="s">
        <v>125</v>
      </c>
      <c r="B41" s="8" t="s">
        <v>239</v>
      </c>
      <c r="C41" s="4">
        <v>7</v>
      </c>
      <c r="D41" s="4" t="s">
        <v>178</v>
      </c>
      <c r="E41" s="4"/>
      <c r="F41" s="13" t="str">
        <f>_xlfn.XLOOKUP(B41,'Holiday Inn Express'!B:B,'Holiday Inn Express'!F:F,"",0,1)</f>
        <v>Prerequisite: Must complete Onboarding Learning Plan</v>
      </c>
      <c r="G41" s="13" t="s">
        <v>170</v>
      </c>
      <c r="H41" s="13" t="s">
        <v>169</v>
      </c>
      <c r="I41" s="13" t="s">
        <v>169</v>
      </c>
      <c r="J41" s="13" t="s">
        <v>169</v>
      </c>
      <c r="K41" s="13" t="s">
        <v>169</v>
      </c>
      <c r="L41" s="13" t="s">
        <v>169</v>
      </c>
      <c r="M41" s="13" t="s">
        <v>169</v>
      </c>
      <c r="N41" s="13" t="s">
        <v>169</v>
      </c>
      <c r="O41" s="13" t="s">
        <v>169</v>
      </c>
      <c r="P41" s="13" t="s">
        <v>169</v>
      </c>
      <c r="Q41" s="13" t="s">
        <v>169</v>
      </c>
      <c r="R41" s="13" t="s">
        <v>169</v>
      </c>
      <c r="S41" s="13" t="s">
        <v>169</v>
      </c>
    </row>
  </sheetData>
  <hyperlinks>
    <hyperlink ref="B2" r:id="rId1" display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xr:uid="{741357B8-A1EE-4E76-B35F-F517DE372ACE}"/>
    <hyperlink ref="B12" r:id="rId2" display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xr:uid="{0911D0DA-D0FA-4DD1-9462-F55796907384}"/>
    <hyperlink ref="B10" r:id="rId3" display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xr:uid="{DE6BBD3C-9BFD-465C-970A-B950A2216ECA}"/>
    <hyperlink ref="B32" r:id="rId4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A3D12D5D-9109-4E5B-B6E5-A164D9313112}"/>
    <hyperlink ref="B13" r:id="rId5" xr:uid="{1D5F14E8-50B2-4092-B668-A5E540766ACD}"/>
    <hyperlink ref="B15" r:id="rId6" xr:uid="{52C0E11F-1EB6-421F-94EA-5B2F72C2EE20}"/>
    <hyperlink ref="B16" r:id="rId7" xr:uid="{EF95083F-E452-4E16-B78F-AD51AFD5ABBC}"/>
    <hyperlink ref="B17" r:id="rId8" xr:uid="{5FB372BD-E19D-4FC7-9778-6B4AA2560DA9}"/>
    <hyperlink ref="B18" r:id="rId9" xr:uid="{F501EFD7-9CE5-411C-8554-1A85713D409F}"/>
    <hyperlink ref="B19" r:id="rId10" xr:uid="{C30CF749-5F2A-42DB-BE61-2582EBA0B511}"/>
    <hyperlink ref="B28" r:id="rId11" xr:uid="{B735F424-3F35-4CF6-9BB4-8EADEE926627}"/>
    <hyperlink ref="B27" r:id="rId12" xr:uid="{07EFCFFB-8BE2-4957-993A-0D00EDBC63EB}"/>
    <hyperlink ref="B26" r:id="rId13" xr:uid="{9555497F-1E1A-4AA0-A642-3258BBA11785}"/>
    <hyperlink ref="B25" r:id="rId14" xr:uid="{A6AAE70D-1FFA-42A9-A472-27906AD01E68}"/>
    <hyperlink ref="B24" r:id="rId15" xr:uid="{9CD33CC6-0428-47A5-A688-EF2564C5117E}"/>
    <hyperlink ref="B23" r:id="rId16" xr:uid="{D6AF0383-D5DC-4FB4-AE01-363BEFD242AE}"/>
    <hyperlink ref="B22" r:id="rId17" xr:uid="{18468E4F-8CA8-4F59-A7DB-F1C50B02876A}"/>
    <hyperlink ref="B29" r:id="rId18" xr:uid="{31C8C16C-2537-489D-910C-FD1409872302}"/>
    <hyperlink ref="B31" r:id="rId19" xr:uid="{A4978CEF-F5BE-4B00-9D66-40D8FECF0986}"/>
    <hyperlink ref="B33" r:id="rId20" xr:uid="{1D2D7F41-4013-4C0A-909E-EC14B0182321}"/>
    <hyperlink ref="B34" r:id="rId21" xr:uid="{51D9CC33-76AF-446B-83B2-84E31F2A664B}"/>
    <hyperlink ref="B14" r:id="rId22" xr:uid="{207FE0B0-25D6-472F-8290-C1A979505261}"/>
    <hyperlink ref="B39" r:id="rId23" xr:uid="{D821E6EE-FC9E-43BF-9F45-62DE732568AA}"/>
    <hyperlink ref="B35" r:id="rId24" xr:uid="{F59F3C68-1BDC-4EB3-B395-85182F1E8940}"/>
    <hyperlink ref="B36" r:id="rId25" xr:uid="{F017FF9B-3FDE-4757-8C85-B2142DDD5D82}"/>
    <hyperlink ref="B37" r:id="rId26" xr:uid="{6C4E488B-9E9C-47E5-8BCF-E365E757C2B8}"/>
    <hyperlink ref="B20" r:id="rId27" xr:uid="{20515FC2-2E9A-4BA2-B1E8-322AD64DC6D9}"/>
    <hyperlink ref="B21" r:id="rId28" xr:uid="{64D7C17E-15F0-45AA-95F5-31204AA5F6D5}"/>
    <hyperlink ref="B40" r:id="rId29" xr:uid="{1A8090B2-000D-48DA-9049-D7A870A02D71}"/>
    <hyperlink ref="B41" r:id="rId30" xr:uid="{AA725BE5-D583-4F51-93E8-77917038CB37}"/>
    <hyperlink ref="B11" r:id="rId31" xr:uid="{E06326F4-8BFD-4A2F-AFE5-86D864007124}"/>
    <hyperlink ref="B30" r:id="rId32" xr:uid="{E06BEFAE-0536-4D04-B22E-EA89AE0B2076}"/>
    <hyperlink ref="B3" r:id="rId33" display="https://mylearning.sumtotal.host/rcore/c/pillarRedirect?isDeepLink=1&amp;relyingParty=LM&amp;url=https%3A%2F%2Fmylearning.sumtotal.host%2Flearning%2Fcore%2Factivitydetails%2FViewActivityDetails%3FUserMode%3D0%26ActivityId%3D10780%26ClassUnderStruct%3DFalse%26CallerUrl%3D%2Flearning%2Flearner%2FHome%2FGoToPortal%3Fkey%3D0%26SearchCallerURL%3Dhttps%253A%252F%252Fmylearning.sumtotal.host%252Fcore%252FsearchRedirect%253FViewType%253DList%2526SearchText%253Dcandlewood%25252520suites%25252520brand%25252520orientation%2526startRow%253D0%26SearchCallerID%3D2" xr:uid="{A9A306A8-2B5E-4CBA-9C2B-8D37FCCB704A}"/>
    <hyperlink ref="B4" r:id="rId34" display="https://mylearning.sumtotal.host/rcore/c/pillarRedirect?isDeepLink=1&amp;relyingParty=LM&amp;url=https%3A%2F%2Fmylearning.sumtotal.host%2Flearning%2Fcore%2Factivitydetails%2FViewActivityDetails%3FUserMode%3D0%26ActivityId%3D10781%26ClassUnderStruct%3DFalse%26CallerUrl%3D%2Flearning%2Flearner%2FHome%2FGoToPortal%3Fkey%3D0%26SearchCallerURL%3Dhttps%253A%252F%252Fmylearning.sumtotal.host%252Fcore%252FsearchRedirect%253FViewType%253DList%2526SearchText%253Dcandlewood%25252520suites%25252520brand%25252520experience%25252520training%2526startRow%253D0%26SearchCallerID%3D2" xr:uid="{7C058747-F0B3-4A2B-9E78-1167E17F2C13}"/>
    <hyperlink ref="B9" r:id="rId35" display="Hotel Experience Champion Guide" xr:uid="{BF9654F4-6F94-4A31-B0A9-D59184B85D72}"/>
    <hyperlink ref="B5" r:id="rId36" display="Managed Hotel - Leaders Guide" xr:uid="{307E5F8F-69A0-4269-B18E-2C9295E22FDD}"/>
    <hyperlink ref="B6" r:id="rId37" xr:uid="{C9FB8871-8B52-491D-B2C7-D096A39AB3DF}"/>
    <hyperlink ref="B7" r:id="rId38" xr:uid="{3AED0C12-95E5-4B9F-8651-F835C74D70E9}"/>
    <hyperlink ref="B8" r:id="rId39" xr:uid="{B445D1B3-D9BB-4407-B759-C21F174457E7}"/>
    <hyperlink ref="B38" r:id="rId40" display="IHG53503" xr:uid="{F3568CA0-5BC3-4D72-808D-781464B83D7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DACB2-9123-4710-9D05-109FA33D6232}">
  <sheetPr codeName="Sheet17">
    <tabColor rgb="FFC65911"/>
  </sheetPr>
  <dimension ref="A1:X42"/>
  <sheetViews>
    <sheetView zoomScale="85" zoomScaleNormal="85" workbookViewId="0">
      <pane ySplit="1" topLeftCell="A2" activePane="bottomLeft" state="frozen"/>
      <selection activeCell="B1" sqref="B1:B1048576"/>
      <selection pane="bottomLeft" activeCell="B1" sqref="B1:B1048576"/>
    </sheetView>
  </sheetViews>
  <sheetFormatPr defaultRowHeight="30" customHeight="1" x14ac:dyDescent="0.25"/>
  <cols>
    <col min="1" max="1" width="48.7109375" style="39" customWidth="1"/>
    <col min="2" max="2" width="16.7109375" style="28" customWidth="1"/>
    <col min="3" max="5" width="22.7109375" style="9" customWidth="1"/>
    <col min="6" max="6" width="31.7109375" style="28" customWidth="1"/>
    <col min="7" max="19" width="19.5703125" style="28" customWidth="1"/>
    <col min="20" max="24" width="9.140625" style="28"/>
    <col min="25" max="16384" width="9.140625" style="24"/>
  </cols>
  <sheetData>
    <row r="1" spans="1:19" ht="30" customHeight="1" x14ac:dyDescent="0.25">
      <c r="A1" s="33" t="s">
        <v>187</v>
      </c>
      <c r="B1" s="13" t="s">
        <v>50</v>
      </c>
      <c r="C1" s="4" t="s">
        <v>182</v>
      </c>
      <c r="D1" s="4" t="s">
        <v>183</v>
      </c>
      <c r="E1" s="4" t="s">
        <v>184</v>
      </c>
      <c r="F1" s="13" t="s">
        <v>51</v>
      </c>
      <c r="G1" s="13" t="s">
        <v>52</v>
      </c>
      <c r="H1" s="13" t="s">
        <v>53</v>
      </c>
      <c r="I1" s="13" t="s">
        <v>54</v>
      </c>
      <c r="J1" s="13" t="s">
        <v>55</v>
      </c>
      <c r="K1" s="13" t="s">
        <v>56</v>
      </c>
      <c r="L1" s="13" t="s">
        <v>57</v>
      </c>
      <c r="M1" s="13" t="s">
        <v>58</v>
      </c>
      <c r="N1" s="13" t="s">
        <v>59</v>
      </c>
      <c r="O1" s="13" t="s">
        <v>60</v>
      </c>
      <c r="P1" s="13" t="s">
        <v>61</v>
      </c>
      <c r="Q1" s="13" t="s">
        <v>62</v>
      </c>
      <c r="R1" s="13" t="s">
        <v>63</v>
      </c>
      <c r="S1" s="13" t="s">
        <v>64</v>
      </c>
    </row>
    <row r="2" spans="1:19" ht="30" customHeight="1" x14ac:dyDescent="0.25">
      <c r="A2" s="30" t="s">
        <v>65</v>
      </c>
      <c r="B2" s="12" t="s">
        <v>66</v>
      </c>
      <c r="C2" s="4">
        <f>_xlfn.XLOOKUP(B2,Lookups!G:G,Lookups!H:H,"",0,1)</f>
        <v>3</v>
      </c>
      <c r="D2" s="4" t="str">
        <f>_xlfn.XLOOKUP(C2,[1]Sheet2!$A$2:$A$11,[1]Sheet2!$B$2:$B$11,"Not found")</f>
        <v>within 30 days</v>
      </c>
      <c r="E2" s="4"/>
      <c r="F2" s="13" t="str">
        <f>_xlfn.XLOOKUP(B2,'Holiday Inn Express'!B:B,'Holiday Inn Express'!F:F,"",0,1)</f>
        <v xml:space="preserve">Self-paced Online Learning (1 Hour 15 Minutes). Hotel-led in-person training (On-Job-Training, OJT) is permitted &amp; completions must be tracked in myLearning. </v>
      </c>
      <c r="G2" s="13" t="s">
        <v>170</v>
      </c>
      <c r="H2" s="13" t="s">
        <v>170</v>
      </c>
      <c r="I2" s="13" t="s">
        <v>170</v>
      </c>
      <c r="J2" s="13" t="s">
        <v>170</v>
      </c>
      <c r="K2" s="13" t="s">
        <v>170</v>
      </c>
      <c r="L2" s="13" t="s">
        <v>170</v>
      </c>
      <c r="M2" s="13" t="s">
        <v>170</v>
      </c>
      <c r="N2" s="13" t="s">
        <v>170</v>
      </c>
      <c r="O2" s="13" t="s">
        <v>170</v>
      </c>
      <c r="P2" s="13" t="s">
        <v>170</v>
      </c>
      <c r="Q2" s="13" t="s">
        <v>170</v>
      </c>
      <c r="R2" s="13" t="s">
        <v>170</v>
      </c>
      <c r="S2" s="13" t="s">
        <v>170</v>
      </c>
    </row>
    <row r="3" spans="1:19" ht="30" customHeight="1" x14ac:dyDescent="0.25">
      <c r="A3" s="34" t="s">
        <v>159</v>
      </c>
      <c r="B3" s="17" t="s">
        <v>160</v>
      </c>
      <c r="C3" s="4">
        <f>_xlfn.XLOOKUP(B3,Lookups!G:G,Lookups!H:H,"",0,1)</f>
        <v>3</v>
      </c>
      <c r="D3" s="4" t="str">
        <f>_xlfn.XLOOKUP(C3,[1]Sheet2!$A$2:$A$11,[1]Sheet2!$B$2:$B$11,"Not found")</f>
        <v>within 30 days</v>
      </c>
      <c r="E3" s="4"/>
      <c r="F3" s="11" t="s">
        <v>309</v>
      </c>
      <c r="G3" s="13" t="s">
        <v>170</v>
      </c>
      <c r="H3" s="13" t="s">
        <v>170</v>
      </c>
      <c r="I3" s="13" t="s">
        <v>170</v>
      </c>
      <c r="J3" s="13" t="s">
        <v>170</v>
      </c>
      <c r="K3" s="13" t="s">
        <v>170</v>
      </c>
      <c r="L3" s="13" t="s">
        <v>170</v>
      </c>
      <c r="M3" s="13" t="s">
        <v>170</v>
      </c>
      <c r="N3" s="13" t="s">
        <v>170</v>
      </c>
      <c r="O3" s="13" t="s">
        <v>170</v>
      </c>
      <c r="P3" s="13" t="s">
        <v>170</v>
      </c>
      <c r="Q3" s="13" t="s">
        <v>170</v>
      </c>
      <c r="R3" s="13" t="s">
        <v>170</v>
      </c>
      <c r="S3" s="13" t="s">
        <v>170</v>
      </c>
    </row>
    <row r="4" spans="1:19" ht="30" customHeight="1" x14ac:dyDescent="0.25">
      <c r="A4" s="33" t="s">
        <v>292</v>
      </c>
      <c r="B4" s="16" t="s">
        <v>286</v>
      </c>
      <c r="C4" s="4">
        <f>_xlfn.XLOOKUP(B4,Lookups!G:G,Lookups!H:H,"",0,1)</f>
        <v>3</v>
      </c>
      <c r="D4" s="4" t="str">
        <f>_xlfn.XLOOKUP(C4,[1]Sheet2!$A$2:$A$11,[1]Sheet2!$B$2:$B$11,"Not found")</f>
        <v>within 30 days</v>
      </c>
      <c r="E4" s="4"/>
      <c r="F4" s="13" t="s">
        <v>290</v>
      </c>
      <c r="G4" s="13" t="s">
        <v>170</v>
      </c>
      <c r="H4" s="13" t="s">
        <v>170</v>
      </c>
      <c r="I4" s="13" t="s">
        <v>170</v>
      </c>
      <c r="J4" s="13" t="s">
        <v>170</v>
      </c>
      <c r="K4" s="13" t="s">
        <v>170</v>
      </c>
      <c r="L4" s="13" t="s">
        <v>170</v>
      </c>
      <c r="M4" s="13" t="s">
        <v>170</v>
      </c>
      <c r="N4" s="13"/>
      <c r="O4" s="13"/>
      <c r="P4" s="13"/>
      <c r="Q4" s="13"/>
      <c r="R4" s="13" t="s">
        <v>170</v>
      </c>
      <c r="S4" s="13"/>
    </row>
    <row r="5" spans="1:19" ht="30" customHeight="1" x14ac:dyDescent="0.25">
      <c r="A5" s="33" t="s">
        <v>292</v>
      </c>
      <c r="B5" s="16" t="s">
        <v>287</v>
      </c>
      <c r="C5" s="4">
        <f>_xlfn.XLOOKUP(B5,Lookups!G:G,Lookups!H:H,"",0,1)</f>
        <v>3</v>
      </c>
      <c r="D5" s="4" t="str">
        <f>_xlfn.XLOOKUP(C5,[1]Sheet2!$A$2:$A$11,[1]Sheet2!$B$2:$B$11,"Not found")</f>
        <v>within 30 days</v>
      </c>
      <c r="E5" s="4"/>
      <c r="F5" s="13" t="s">
        <v>290</v>
      </c>
      <c r="G5" s="13"/>
      <c r="H5" s="13"/>
      <c r="I5" s="13"/>
      <c r="J5" s="13"/>
      <c r="K5" s="13"/>
      <c r="L5" s="13"/>
      <c r="M5" s="13"/>
      <c r="N5" s="13" t="s">
        <v>170</v>
      </c>
      <c r="O5" s="13" t="s">
        <v>170</v>
      </c>
      <c r="P5" s="13" t="s">
        <v>170</v>
      </c>
      <c r="Q5" s="13" t="s">
        <v>170</v>
      </c>
      <c r="R5" s="13"/>
      <c r="S5" s="13" t="s">
        <v>170</v>
      </c>
    </row>
    <row r="6" spans="1:19" ht="30" customHeight="1" x14ac:dyDescent="0.25">
      <c r="A6" s="33" t="s">
        <v>293</v>
      </c>
      <c r="B6" s="16" t="s">
        <v>288</v>
      </c>
      <c r="C6" s="4">
        <f>_xlfn.XLOOKUP(B6,Lookups!G:G,Lookups!H:H,"",0,1)</f>
        <v>3</v>
      </c>
      <c r="D6" s="4" t="str">
        <f>_xlfn.XLOOKUP(C6,[1]Sheet2!$A$2:$A$11,[1]Sheet2!$B$2:$B$11,"Not found")</f>
        <v>within 30 days</v>
      </c>
      <c r="E6" s="4"/>
      <c r="F6" s="13" t="s">
        <v>291</v>
      </c>
      <c r="G6" s="13" t="s">
        <v>170</v>
      </c>
      <c r="H6" s="13" t="s">
        <v>170</v>
      </c>
      <c r="I6" s="13" t="s">
        <v>170</v>
      </c>
      <c r="J6" s="13" t="s">
        <v>170</v>
      </c>
      <c r="K6" s="13" t="s">
        <v>170</v>
      </c>
      <c r="L6" s="13" t="s">
        <v>170</v>
      </c>
      <c r="M6" s="13" t="s">
        <v>170</v>
      </c>
      <c r="N6" s="13"/>
      <c r="O6" s="13"/>
      <c r="P6" s="13"/>
      <c r="Q6" s="13"/>
      <c r="R6" s="13" t="s">
        <v>170</v>
      </c>
      <c r="S6" s="13"/>
    </row>
    <row r="7" spans="1:19" ht="30" customHeight="1" x14ac:dyDescent="0.25">
      <c r="A7" s="33" t="s">
        <v>293</v>
      </c>
      <c r="B7" s="16" t="s">
        <v>289</v>
      </c>
      <c r="C7" s="4">
        <f>_xlfn.XLOOKUP(B7,Lookups!G:G,Lookups!H:H,"",0,1)</f>
        <v>3</v>
      </c>
      <c r="D7" s="4" t="str">
        <f>_xlfn.XLOOKUP(C7,[1]Sheet2!$A$2:$A$11,[1]Sheet2!$B$2:$B$11,"Not found")</f>
        <v>within 30 days</v>
      </c>
      <c r="E7" s="4"/>
      <c r="F7" s="13" t="s">
        <v>291</v>
      </c>
      <c r="G7" s="13"/>
      <c r="H7" s="13"/>
      <c r="I7" s="13"/>
      <c r="J7" s="13"/>
      <c r="K7" s="13"/>
      <c r="L7" s="13"/>
      <c r="M7" s="13"/>
      <c r="N7" s="13" t="s">
        <v>170</v>
      </c>
      <c r="O7" s="13" t="s">
        <v>170</v>
      </c>
      <c r="P7" s="13" t="s">
        <v>170</v>
      </c>
      <c r="Q7" s="13" t="s">
        <v>170</v>
      </c>
      <c r="R7" s="13"/>
      <c r="S7" s="13" t="s">
        <v>170</v>
      </c>
    </row>
    <row r="8" spans="1:19" ht="30" customHeight="1" x14ac:dyDescent="0.25">
      <c r="A8" s="33" t="s">
        <v>69</v>
      </c>
      <c r="B8" s="16" t="s">
        <v>285</v>
      </c>
      <c r="C8" s="4">
        <v>3</v>
      </c>
      <c r="D8" s="4" t="str">
        <f>_xlfn.XLOOKUP(C8,[1]Sheet2!$A$2:$A$11,[1]Sheet2!$B$2:$B$11,"Not found")</f>
        <v>within 30 days</v>
      </c>
      <c r="E8" s="4"/>
      <c r="F8" s="4" t="s">
        <v>284</v>
      </c>
      <c r="G8" s="13" t="s">
        <v>170</v>
      </c>
      <c r="H8" s="13" t="s">
        <v>169</v>
      </c>
      <c r="I8" s="13" t="s">
        <v>169</v>
      </c>
      <c r="J8" s="13" t="s">
        <v>169</v>
      </c>
      <c r="K8" s="13" t="s">
        <v>169</v>
      </c>
      <c r="L8" s="13" t="s">
        <v>169</v>
      </c>
      <c r="M8" s="13" t="s">
        <v>169</v>
      </c>
      <c r="N8" s="13" t="s">
        <v>169</v>
      </c>
      <c r="O8" s="13" t="s">
        <v>169</v>
      </c>
      <c r="P8" s="13" t="s">
        <v>169</v>
      </c>
      <c r="Q8" s="13" t="s">
        <v>169</v>
      </c>
      <c r="R8" s="13" t="s">
        <v>169</v>
      </c>
      <c r="S8" s="13" t="s">
        <v>169</v>
      </c>
    </row>
    <row r="9" spans="1:19" ht="30" customHeight="1" x14ac:dyDescent="0.25">
      <c r="A9" s="33" t="s">
        <v>70</v>
      </c>
      <c r="B9" s="12" t="s">
        <v>71</v>
      </c>
      <c r="C9" s="4">
        <f>_xlfn.XLOOKUP(B9,Lookups!G:G,Lookups!H:H,"",0,1)</f>
        <v>4</v>
      </c>
      <c r="D9" s="4" t="str">
        <f>_xlfn.XLOOKUP(C9,[1]Sheet2!$A$2:$A$11,[1]Sheet2!$B$2:$B$11,"Not found")</f>
        <v>within 60 days</v>
      </c>
      <c r="E9" s="4"/>
      <c r="F9" s="13" t="str">
        <f>_xlfn.XLOOKUP(B9,'Holiday Inn Express'!B:B,'Holiday Inn Express'!F:F,"",0,1)</f>
        <v>Self-paced Online Learning (1 Hour 45 Minutes).</v>
      </c>
      <c r="G9" s="13" t="s">
        <v>170</v>
      </c>
      <c r="H9" s="13" t="s">
        <v>170</v>
      </c>
      <c r="I9" s="13" t="s">
        <v>170</v>
      </c>
      <c r="J9" s="13" t="s">
        <v>170</v>
      </c>
      <c r="K9" s="13" t="s">
        <v>170</v>
      </c>
      <c r="L9" s="13" t="s">
        <v>170</v>
      </c>
      <c r="M9" s="13" t="s">
        <v>170</v>
      </c>
      <c r="N9" s="13" t="s">
        <v>169</v>
      </c>
      <c r="O9" s="13" t="s">
        <v>169</v>
      </c>
      <c r="P9" s="13" t="s">
        <v>169</v>
      </c>
      <c r="Q9" s="13" t="s">
        <v>169</v>
      </c>
      <c r="R9" s="13" t="s">
        <v>170</v>
      </c>
      <c r="S9" s="13" t="s">
        <v>169</v>
      </c>
    </row>
    <row r="10" spans="1:19" ht="30" customHeight="1" x14ac:dyDescent="0.25">
      <c r="A10" s="33" t="s">
        <v>274</v>
      </c>
      <c r="B10" s="3" t="s">
        <v>274</v>
      </c>
      <c r="C10" s="4">
        <v>10</v>
      </c>
      <c r="D10" s="4" t="str">
        <f>_xlfn.XLOOKUP(C10,[1]Sheet2!$A$2:$A$11,[1]Sheet2!$B$2:$B$11,"Not found")</f>
        <v>Suggested Learning</v>
      </c>
      <c r="E10" s="4"/>
      <c r="F10" s="13" t="str">
        <f>_xlfn.XLOOKUP(B10,'Holiday Inn Express'!B:B,'Holiday Inn Express'!F:F,"",0,1)</f>
        <v>Explore resource and apply accordingly</v>
      </c>
      <c r="G10" s="13" t="s">
        <v>170</v>
      </c>
      <c r="H10" s="13" t="s">
        <v>170</v>
      </c>
      <c r="I10" s="13" t="s">
        <v>170</v>
      </c>
      <c r="J10" s="13" t="s">
        <v>170</v>
      </c>
      <c r="K10" s="13" t="s">
        <v>170</v>
      </c>
      <c r="L10" s="13" t="s">
        <v>170</v>
      </c>
      <c r="M10" s="13" t="s">
        <v>170</v>
      </c>
      <c r="N10" s="13" t="s">
        <v>169</v>
      </c>
      <c r="O10" s="13" t="s">
        <v>169</v>
      </c>
      <c r="P10" s="13" t="s">
        <v>169</v>
      </c>
      <c r="Q10" s="13" t="s">
        <v>169</v>
      </c>
      <c r="R10" s="13" t="s">
        <v>170</v>
      </c>
      <c r="S10" s="13" t="s">
        <v>169</v>
      </c>
    </row>
    <row r="11" spans="1:19" ht="30" customHeight="1" x14ac:dyDescent="0.25">
      <c r="A11" s="33" t="s">
        <v>168</v>
      </c>
      <c r="B11" s="12" t="s">
        <v>72</v>
      </c>
      <c r="C11" s="4">
        <f>_xlfn.XLOOKUP(B11,Lookups!G:G,Lookups!H:H,"",0,1)</f>
        <v>3</v>
      </c>
      <c r="D11" s="4" t="str">
        <f>_xlfn.XLOOKUP(C11,[1]Sheet2!$A$2:$A$11,[1]Sheet2!$B$2:$B$11,"Not found")</f>
        <v>within 30 days</v>
      </c>
      <c r="E11" s="4"/>
      <c r="F11" s="13" t="str">
        <f>_xlfn.XLOOKUP(B11,'Holiday Inn Express'!B:B,'Holiday Inn Express'!F:F,"",0,1)</f>
        <v xml:space="preserve">Self-paced Online Learning (1 Hour). Hotel-led in-person training (On-Job-Training, OJT) is permitted &amp; completions must be tracked in myLearning. </v>
      </c>
      <c r="G11" s="13" t="s">
        <v>170</v>
      </c>
      <c r="H11" s="13" t="s">
        <v>170</v>
      </c>
      <c r="I11" s="13" t="s">
        <v>170</v>
      </c>
      <c r="J11" s="13" t="s">
        <v>170</v>
      </c>
      <c r="K11" s="13" t="s">
        <v>170</v>
      </c>
      <c r="L11" s="13" t="s">
        <v>170</v>
      </c>
      <c r="M11" s="13" t="s">
        <v>170</v>
      </c>
      <c r="N11" s="13" t="s">
        <v>170</v>
      </c>
      <c r="O11" s="13" t="s">
        <v>170</v>
      </c>
      <c r="P11" s="13" t="s">
        <v>170</v>
      </c>
      <c r="Q11" s="13" t="s">
        <v>170</v>
      </c>
      <c r="R11" s="13" t="s">
        <v>170</v>
      </c>
      <c r="S11" s="13" t="s">
        <v>170</v>
      </c>
    </row>
    <row r="12" spans="1:19" ht="30" customHeight="1" x14ac:dyDescent="0.25">
      <c r="A12" s="33" t="s">
        <v>73</v>
      </c>
      <c r="B12" s="17" t="s">
        <v>74</v>
      </c>
      <c r="C12" s="4">
        <f>_xlfn.XLOOKUP(B12,Lookups!G:G,Lookups!H:H,"",0,1)</f>
        <v>3</v>
      </c>
      <c r="D12" s="4" t="str">
        <f>_xlfn.XLOOKUP(C12,[1]Sheet2!$A$2:$A$11,[1]Sheet2!$B$2:$B$11,"Not found")</f>
        <v>within 30 days</v>
      </c>
      <c r="E12" s="4"/>
      <c r="F12" s="13" t="str">
        <f>_xlfn.XLOOKUP(B12,'Holiday Inn Express'!B:B,'Holiday Inn Express'!F:F,"",0,1)</f>
        <v>Self-paced Online Learning (20 Minutes).</v>
      </c>
      <c r="G12" s="13" t="s">
        <v>170</v>
      </c>
      <c r="H12" s="13" t="s">
        <v>170</v>
      </c>
      <c r="I12" s="13" t="s">
        <v>170</v>
      </c>
      <c r="J12" s="13" t="s">
        <v>170</v>
      </c>
      <c r="K12" s="13" t="s">
        <v>170</v>
      </c>
      <c r="L12" s="13" t="s">
        <v>170</v>
      </c>
      <c r="M12" s="13" t="s">
        <v>170</v>
      </c>
      <c r="N12" s="13" t="s">
        <v>170</v>
      </c>
      <c r="O12" s="13" t="s">
        <v>170</v>
      </c>
      <c r="P12" s="13" t="s">
        <v>170</v>
      </c>
      <c r="Q12" s="13" t="s">
        <v>170</v>
      </c>
      <c r="R12" s="13" t="s">
        <v>170</v>
      </c>
      <c r="S12" s="13" t="s">
        <v>170</v>
      </c>
    </row>
    <row r="13" spans="1:19" ht="30" customHeight="1" x14ac:dyDescent="0.25">
      <c r="A13" s="33" t="s">
        <v>75</v>
      </c>
      <c r="B13" s="17" t="s">
        <v>76</v>
      </c>
      <c r="C13" s="4">
        <f>_xlfn.XLOOKUP(B13,Lookups!G:G,Lookups!H:H,"",0,1)</f>
        <v>3</v>
      </c>
      <c r="D13" s="4" t="str">
        <f>_xlfn.XLOOKUP(C13,[1]Sheet2!$A$2:$A$11,[1]Sheet2!$B$2:$B$11,"Not found")</f>
        <v>within 30 days</v>
      </c>
      <c r="E13" s="4"/>
      <c r="F13" s="13" t="str">
        <f>_xlfn.XLOOKUP(B13,'Holiday Inn Express'!B:B,'Holiday Inn Express'!F:F,"",0,1)</f>
        <v>Self-paced Online Learning (20 Minutes).</v>
      </c>
      <c r="G13" s="13" t="s">
        <v>170</v>
      </c>
      <c r="H13" s="13" t="s">
        <v>170</v>
      </c>
      <c r="I13" s="13" t="s">
        <v>170</v>
      </c>
      <c r="J13" s="13" t="s">
        <v>170</v>
      </c>
      <c r="K13" s="13" t="s">
        <v>170</v>
      </c>
      <c r="L13" s="13" t="s">
        <v>170</v>
      </c>
      <c r="M13" s="13" t="s">
        <v>170</v>
      </c>
      <c r="N13" s="13" t="s">
        <v>169</v>
      </c>
      <c r="O13" s="13" t="s">
        <v>169</v>
      </c>
      <c r="P13" s="13" t="s">
        <v>169</v>
      </c>
      <c r="Q13" s="13" t="s">
        <v>169</v>
      </c>
      <c r="R13" s="13" t="s">
        <v>170</v>
      </c>
      <c r="S13" s="13" t="s">
        <v>169</v>
      </c>
    </row>
    <row r="14" spans="1:19" ht="30" customHeight="1" x14ac:dyDescent="0.25">
      <c r="A14" s="33" t="s">
        <v>77</v>
      </c>
      <c r="B14" s="17" t="s">
        <v>78</v>
      </c>
      <c r="C14" s="4">
        <f>_xlfn.XLOOKUP(B14,Lookups!G:G,Lookups!H:H,"",0,1)</f>
        <v>3</v>
      </c>
      <c r="D14" s="4" t="str">
        <f>_xlfn.XLOOKUP(C14,[1]Sheet2!$A$2:$A$11,[1]Sheet2!$B$2:$B$11,"Not found")</f>
        <v>within 30 days</v>
      </c>
      <c r="E14" s="4"/>
      <c r="F14" s="13" t="str">
        <f>_xlfn.XLOOKUP(B14,'Holiday Inn Express'!B:B,'Holiday Inn Express'!F:F,"",0,1)</f>
        <v>Self-paced Online Learning (20 Minutes).</v>
      </c>
      <c r="G14" s="13" t="s">
        <v>170</v>
      </c>
      <c r="H14" s="13" t="s">
        <v>170</v>
      </c>
      <c r="I14" s="13" t="s">
        <v>170</v>
      </c>
      <c r="J14" s="13" t="s">
        <v>170</v>
      </c>
      <c r="K14" s="13" t="s">
        <v>170</v>
      </c>
      <c r="L14" s="13" t="s">
        <v>170</v>
      </c>
      <c r="M14" s="13" t="s">
        <v>170</v>
      </c>
      <c r="N14" s="13" t="s">
        <v>170</v>
      </c>
      <c r="O14" s="13" t="s">
        <v>170</v>
      </c>
      <c r="P14" s="13" t="s">
        <v>170</v>
      </c>
      <c r="Q14" s="13" t="s">
        <v>170</v>
      </c>
      <c r="R14" s="13" t="s">
        <v>170</v>
      </c>
      <c r="S14" s="13" t="s">
        <v>170</v>
      </c>
    </row>
    <row r="15" spans="1:19" ht="30" customHeight="1" x14ac:dyDescent="0.25">
      <c r="A15" s="33" t="s">
        <v>79</v>
      </c>
      <c r="B15" s="17" t="s">
        <v>80</v>
      </c>
      <c r="C15" s="4">
        <f>_xlfn.XLOOKUP(B15,Lookups!G:G,Lookups!H:H,"",0,1)</f>
        <v>3</v>
      </c>
      <c r="D15" s="4" t="str">
        <f>_xlfn.XLOOKUP(C15,[1]Sheet2!$A$2:$A$11,[1]Sheet2!$B$2:$B$11,"Not found")</f>
        <v>within 30 days</v>
      </c>
      <c r="E15" s="4"/>
      <c r="F15" s="13" t="str">
        <f>_xlfn.XLOOKUP(B15,'Holiday Inn Express'!B:B,'Holiday Inn Express'!F:F,"",0,1)</f>
        <v>Self-paced Online Learning (15 Minutes).</v>
      </c>
      <c r="G15" s="13" t="s">
        <v>170</v>
      </c>
      <c r="H15" s="13" t="s">
        <v>170</v>
      </c>
      <c r="I15" s="13" t="s">
        <v>170</v>
      </c>
      <c r="J15" s="13" t="s">
        <v>170</v>
      </c>
      <c r="K15" s="13" t="s">
        <v>170</v>
      </c>
      <c r="L15" s="13" t="s">
        <v>170</v>
      </c>
      <c r="M15" s="13" t="s">
        <v>170</v>
      </c>
      <c r="N15" s="13" t="s">
        <v>170</v>
      </c>
      <c r="O15" s="13" t="s">
        <v>170</v>
      </c>
      <c r="P15" s="13" t="s">
        <v>170</v>
      </c>
      <c r="Q15" s="13" t="s">
        <v>170</v>
      </c>
      <c r="R15" s="13" t="s">
        <v>170</v>
      </c>
      <c r="S15" s="13" t="s">
        <v>170</v>
      </c>
    </row>
    <row r="16" spans="1:19" ht="30" customHeight="1" x14ac:dyDescent="0.25">
      <c r="A16" s="33" t="s">
        <v>81</v>
      </c>
      <c r="B16" s="17" t="s">
        <v>82</v>
      </c>
      <c r="C16" s="4">
        <f>_xlfn.XLOOKUP(B16,Lookups!G:G,Lookups!H:H,"",0,1)</f>
        <v>3</v>
      </c>
      <c r="D16" s="4" t="str">
        <f>_xlfn.XLOOKUP(C16,[1]Sheet2!$A$2:$A$11,[1]Sheet2!$B$2:$B$11,"Not found")</f>
        <v>within 30 days</v>
      </c>
      <c r="E16" s="4"/>
      <c r="F16" s="13" t="str">
        <f>_xlfn.XLOOKUP(B16,'Holiday Inn Express'!B:B,'Holiday Inn Express'!F:F,"",0,1)</f>
        <v>Self-paced Online Learning (20 Minutes).</v>
      </c>
      <c r="G16" s="13" t="s">
        <v>170</v>
      </c>
      <c r="H16" s="13" t="s">
        <v>170</v>
      </c>
      <c r="I16" s="13" t="s">
        <v>170</v>
      </c>
      <c r="J16" s="13" t="s">
        <v>170</v>
      </c>
      <c r="K16" s="13" t="s">
        <v>170</v>
      </c>
      <c r="L16" s="13" t="s">
        <v>170</v>
      </c>
      <c r="M16" s="13" t="s">
        <v>170</v>
      </c>
      <c r="N16" s="13" t="s">
        <v>170</v>
      </c>
      <c r="O16" s="13" t="s">
        <v>170</v>
      </c>
      <c r="P16" s="13" t="s">
        <v>170</v>
      </c>
      <c r="Q16" s="13" t="s">
        <v>170</v>
      </c>
      <c r="R16" s="13" t="s">
        <v>170</v>
      </c>
      <c r="S16" s="13" t="s">
        <v>170</v>
      </c>
    </row>
    <row r="17" spans="1:19" ht="30" customHeight="1" x14ac:dyDescent="0.25">
      <c r="A17" s="33" t="s">
        <v>83</v>
      </c>
      <c r="B17" s="17" t="s">
        <v>84</v>
      </c>
      <c r="C17" s="4">
        <f>_xlfn.XLOOKUP(B17,Lookups!G:G,Lookups!H:H,"",0,1)</f>
        <v>10</v>
      </c>
      <c r="D17" s="4" t="str">
        <f>_xlfn.XLOOKUP(C17,[1]Sheet2!$A$2:$A$11,[1]Sheet2!$B$2:$B$11,"Not found")</f>
        <v>Suggested Learning</v>
      </c>
      <c r="E17" s="4"/>
      <c r="F17" s="13" t="str">
        <f>_xlfn.XLOOKUP(B17,'Holiday Inn Express'!B:B,'Holiday Inn Express'!F:F,"",0,1)</f>
        <v>Self-paced Online Learning.</v>
      </c>
      <c r="G17" s="13" t="s">
        <v>170</v>
      </c>
      <c r="H17" s="13" t="s">
        <v>170</v>
      </c>
      <c r="I17" s="13" t="s">
        <v>170</v>
      </c>
      <c r="J17" s="13" t="s">
        <v>170</v>
      </c>
      <c r="K17" s="13" t="s">
        <v>170</v>
      </c>
      <c r="L17" s="13" t="s">
        <v>170</v>
      </c>
      <c r="M17" s="13" t="s">
        <v>170</v>
      </c>
      <c r="N17" s="13" t="s">
        <v>170</v>
      </c>
      <c r="O17" s="13" t="s">
        <v>169</v>
      </c>
      <c r="P17" s="13" t="s">
        <v>169</v>
      </c>
      <c r="Q17" s="13" t="s">
        <v>169</v>
      </c>
      <c r="R17" s="13" t="s">
        <v>170</v>
      </c>
      <c r="S17" s="13" t="s">
        <v>170</v>
      </c>
    </row>
    <row r="18" spans="1:19" ht="30" customHeight="1" x14ac:dyDescent="0.25">
      <c r="A18" s="33" t="s">
        <v>85</v>
      </c>
      <c r="B18" s="17" t="s">
        <v>86</v>
      </c>
      <c r="C18" s="4">
        <f>_xlfn.XLOOKUP(B18,Lookups!G:G,Lookups!H:H,"",0,1)</f>
        <v>10</v>
      </c>
      <c r="D18" s="4" t="str">
        <f>_xlfn.XLOOKUP(C18,[1]Sheet2!$A$2:$A$11,[1]Sheet2!$B$2:$B$11,"Not found")</f>
        <v>Suggested Learning</v>
      </c>
      <c r="E18" s="4"/>
      <c r="F18" s="13" t="str">
        <f>_xlfn.XLOOKUP(B18,'Holiday Inn Express'!B:B,'Holiday Inn Express'!F:F,"",0,1)</f>
        <v>Self-paced Online Learning.</v>
      </c>
      <c r="G18" s="13" t="s">
        <v>170</v>
      </c>
      <c r="H18" s="13" t="s">
        <v>169</v>
      </c>
      <c r="I18" s="13" t="s">
        <v>169</v>
      </c>
      <c r="J18" s="13" t="s">
        <v>170</v>
      </c>
      <c r="K18" s="13" t="s">
        <v>169</v>
      </c>
      <c r="L18" s="13" t="s">
        <v>169</v>
      </c>
      <c r="M18" s="13" t="s">
        <v>169</v>
      </c>
      <c r="N18" s="13" t="s">
        <v>170</v>
      </c>
      <c r="O18" s="13" t="s">
        <v>169</v>
      </c>
      <c r="P18" s="13" t="s">
        <v>169</v>
      </c>
      <c r="Q18" s="13" t="s">
        <v>169</v>
      </c>
      <c r="R18" s="13" t="s">
        <v>169</v>
      </c>
      <c r="S18" s="13" t="s">
        <v>169</v>
      </c>
    </row>
    <row r="19" spans="1:19" ht="30" customHeight="1" x14ac:dyDescent="0.25">
      <c r="A19" s="33" t="s">
        <v>87</v>
      </c>
      <c r="B19" s="15" t="s">
        <v>88</v>
      </c>
      <c r="C19" s="4">
        <f>_xlfn.XLOOKUP(B19,Lookups!G:G,Lookups!H:H,"",0,1)</f>
        <v>3</v>
      </c>
      <c r="D19" s="4" t="str">
        <f>_xlfn.XLOOKUP(C19,[1]Sheet2!$A$2:$A$11,[1]Sheet2!$B$2:$B$11,"Not found")</f>
        <v>within 30 days</v>
      </c>
      <c r="E19" s="4"/>
      <c r="F19" s="13" t="str">
        <f>_xlfn.XLOOKUP(B19,'Holiday Inn Express'!B:B,'Holiday Inn Express'!F:F,"",0,1)</f>
        <v xml:space="preserve">Hotel-led in-person training (On-Job-Training, OJT) is permitted &amp; completions must be tracked in myLearning. </v>
      </c>
      <c r="G19" s="13" t="s">
        <v>170</v>
      </c>
      <c r="H19" s="13" t="s">
        <v>169</v>
      </c>
      <c r="I19" s="13" t="s">
        <v>169</v>
      </c>
      <c r="J19" s="13" t="s">
        <v>169</v>
      </c>
      <c r="K19" s="13" t="s">
        <v>170</v>
      </c>
      <c r="L19" s="13" t="s">
        <v>169</v>
      </c>
      <c r="M19" s="13" t="s">
        <v>169</v>
      </c>
      <c r="N19" s="13" t="s">
        <v>169</v>
      </c>
      <c r="O19" s="13" t="s">
        <v>170</v>
      </c>
      <c r="P19" s="13" t="s">
        <v>170</v>
      </c>
      <c r="Q19" s="13" t="s">
        <v>169</v>
      </c>
      <c r="R19" s="13" t="s">
        <v>169</v>
      </c>
      <c r="S19" s="13" t="s">
        <v>169</v>
      </c>
    </row>
    <row r="20" spans="1:19" ht="30" customHeight="1" x14ac:dyDescent="0.25">
      <c r="A20" s="33" t="s">
        <v>89</v>
      </c>
      <c r="B20" s="16" t="s">
        <v>90</v>
      </c>
      <c r="C20" s="4">
        <f>_xlfn.XLOOKUP(B20,Lookups!G:G,Lookups!H:H,"",0,1)</f>
        <v>3</v>
      </c>
      <c r="D20" s="4" t="str">
        <f>_xlfn.XLOOKUP(C20,[1]Sheet2!$A$2:$A$11,[1]Sheet2!$B$2:$B$11,"Not found")</f>
        <v>within 30 days</v>
      </c>
      <c r="E20" s="4"/>
      <c r="F20" s="13" t="str">
        <f>_xlfn.XLOOKUP(B20,'Holiday Inn Express'!B:B,'Holiday Inn Express'!F:F,"",0,1)</f>
        <v xml:space="preserve">Self-paced Online Learning (20 Minutes). Hotel-led in-person training (On-Job-Training, OJT) is permitted &amp; completions must be tracked in myLearning. </v>
      </c>
      <c r="G20" s="13" t="s">
        <v>170</v>
      </c>
      <c r="H20" s="13" t="s">
        <v>170</v>
      </c>
      <c r="I20" s="13" t="s">
        <v>170</v>
      </c>
      <c r="J20" s="13" t="s">
        <v>170</v>
      </c>
      <c r="K20" s="13" t="s">
        <v>169</v>
      </c>
      <c r="L20" s="13" t="s">
        <v>170</v>
      </c>
      <c r="M20" s="13" t="s">
        <v>170</v>
      </c>
      <c r="N20" s="13" t="s">
        <v>170</v>
      </c>
      <c r="O20" s="13" t="s">
        <v>169</v>
      </c>
      <c r="P20" s="13" t="s">
        <v>169</v>
      </c>
      <c r="Q20" s="13" t="s">
        <v>170</v>
      </c>
      <c r="R20" s="13" t="s">
        <v>170</v>
      </c>
      <c r="S20" s="13" t="s">
        <v>170</v>
      </c>
    </row>
    <row r="21" spans="1:19" ht="30" customHeight="1" x14ac:dyDescent="0.25">
      <c r="A21" s="33" t="s">
        <v>91</v>
      </c>
      <c r="B21" s="17" t="s">
        <v>92</v>
      </c>
      <c r="C21" s="4">
        <f>_xlfn.XLOOKUP(B21,Lookups!G:G,Lookups!H:H,"",0,1)</f>
        <v>10</v>
      </c>
      <c r="D21" s="4" t="str">
        <f>_xlfn.XLOOKUP(C21,[1]Sheet2!$A$2:$A$11,[1]Sheet2!$B$2:$B$11,"Not found")</f>
        <v>Suggested Learning</v>
      </c>
      <c r="E21" s="4"/>
      <c r="F21" s="13" t="str">
        <f>_xlfn.XLOOKUP(B21,'Holiday Inn Express'!B:B,'Holiday Inn Express'!F:F,"",0,1)</f>
        <v>Self-paced Online Learning.</v>
      </c>
      <c r="G21" s="13" t="s">
        <v>170</v>
      </c>
      <c r="H21" s="13" t="s">
        <v>170</v>
      </c>
      <c r="I21" s="13" t="s">
        <v>170</v>
      </c>
      <c r="J21" s="13" t="s">
        <v>170</v>
      </c>
      <c r="K21" s="13" t="s">
        <v>169</v>
      </c>
      <c r="L21" s="13" t="s">
        <v>169</v>
      </c>
      <c r="M21" s="13" t="s">
        <v>169</v>
      </c>
      <c r="N21" s="13" t="s">
        <v>169</v>
      </c>
      <c r="O21" s="13" t="s">
        <v>169</v>
      </c>
      <c r="P21" s="13" t="s">
        <v>169</v>
      </c>
      <c r="Q21" s="13" t="s">
        <v>169</v>
      </c>
      <c r="R21" s="13" t="s">
        <v>169</v>
      </c>
      <c r="S21" s="13" t="s">
        <v>169</v>
      </c>
    </row>
    <row r="22" spans="1:19" ht="30" customHeight="1" x14ac:dyDescent="0.25">
      <c r="A22" s="33" t="s">
        <v>93</v>
      </c>
      <c r="B22" s="17" t="s">
        <v>94</v>
      </c>
      <c r="C22" s="4">
        <f>_xlfn.XLOOKUP(B22,Lookups!G:G,Lookups!H:H,"",0,1)</f>
        <v>10</v>
      </c>
      <c r="D22" s="4" t="str">
        <f>_xlfn.XLOOKUP(C22,[1]Sheet2!$A$2:$A$11,[1]Sheet2!$B$2:$B$11,"Not found")</f>
        <v>Suggested Learning</v>
      </c>
      <c r="E22" s="4"/>
      <c r="F22" s="13" t="str">
        <f>_xlfn.XLOOKUP(B22,'Holiday Inn Express'!B:B,'Holiday Inn Express'!F:F,"",0,1)</f>
        <v>Self-paced Online Learning.</v>
      </c>
      <c r="G22" s="13" t="s">
        <v>170</v>
      </c>
      <c r="H22" s="13" t="s">
        <v>169</v>
      </c>
      <c r="I22" s="13" t="s">
        <v>169</v>
      </c>
      <c r="J22" s="13" t="s">
        <v>169</v>
      </c>
      <c r="K22" s="13" t="s">
        <v>169</v>
      </c>
      <c r="L22" s="13" t="s">
        <v>169</v>
      </c>
      <c r="M22" s="13" t="s">
        <v>169</v>
      </c>
      <c r="N22" s="13" t="s">
        <v>169</v>
      </c>
      <c r="O22" s="13" t="s">
        <v>169</v>
      </c>
      <c r="P22" s="13" t="s">
        <v>169</v>
      </c>
      <c r="Q22" s="13" t="s">
        <v>169</v>
      </c>
      <c r="R22" s="13" t="s">
        <v>169</v>
      </c>
      <c r="S22" s="13" t="s">
        <v>169</v>
      </c>
    </row>
    <row r="23" spans="1:19" ht="30" customHeight="1" x14ac:dyDescent="0.25">
      <c r="A23" s="33" t="s">
        <v>95</v>
      </c>
      <c r="B23" s="17" t="s">
        <v>96</v>
      </c>
      <c r="C23" s="4">
        <f>_xlfn.XLOOKUP(B23,Lookups!G:G,Lookups!H:H,"",0,1)</f>
        <v>10</v>
      </c>
      <c r="D23" s="4" t="str">
        <f>_xlfn.XLOOKUP(C23,[1]Sheet2!$A$2:$A$11,[1]Sheet2!$B$2:$B$11,"Not found")</f>
        <v>Suggested Learning</v>
      </c>
      <c r="E23" s="4"/>
      <c r="F23" s="13" t="str">
        <f>_xlfn.XLOOKUP(B23,'Holiday Inn Express'!B:B,'Holiday Inn Express'!F:F,"",0,1)</f>
        <v>Self-paced Online Learning.</v>
      </c>
      <c r="G23" s="13" t="s">
        <v>170</v>
      </c>
      <c r="H23" s="13" t="s">
        <v>169</v>
      </c>
      <c r="I23" s="13" t="s">
        <v>169</v>
      </c>
      <c r="J23" s="13" t="s">
        <v>169</v>
      </c>
      <c r="K23" s="13" t="s">
        <v>169</v>
      </c>
      <c r="L23" s="13" t="s">
        <v>169</v>
      </c>
      <c r="M23" s="13" t="s">
        <v>169</v>
      </c>
      <c r="N23" s="13" t="s">
        <v>169</v>
      </c>
      <c r="O23" s="13" t="s">
        <v>169</v>
      </c>
      <c r="P23" s="13" t="s">
        <v>169</v>
      </c>
      <c r="Q23" s="13" t="s">
        <v>169</v>
      </c>
      <c r="R23" s="13" t="s">
        <v>169</v>
      </c>
      <c r="S23" s="13" t="s">
        <v>169</v>
      </c>
    </row>
    <row r="24" spans="1:19" ht="30" customHeight="1" x14ac:dyDescent="0.25">
      <c r="A24" s="33" t="s">
        <v>97</v>
      </c>
      <c r="B24" s="17" t="s">
        <v>98</v>
      </c>
      <c r="C24" s="4">
        <f>_xlfn.XLOOKUP(B24,Lookups!G:G,Lookups!H:H,"",0,1)</f>
        <v>10</v>
      </c>
      <c r="D24" s="4" t="str">
        <f>_xlfn.XLOOKUP(C24,[1]Sheet2!$A$2:$A$11,[1]Sheet2!$B$2:$B$11,"Not found")</f>
        <v>Suggested Learning</v>
      </c>
      <c r="E24" s="4"/>
      <c r="F24" s="13" t="str">
        <f>_xlfn.XLOOKUP(B24,'Holiday Inn Express'!B:B,'Holiday Inn Express'!F:F,"",0,1)</f>
        <v>Self-paced Online Learning.</v>
      </c>
      <c r="G24" s="13" t="s">
        <v>170</v>
      </c>
      <c r="H24" s="13" t="s">
        <v>169</v>
      </c>
      <c r="I24" s="13" t="s">
        <v>169</v>
      </c>
      <c r="J24" s="13" t="s">
        <v>169</v>
      </c>
      <c r="K24" s="13" t="s">
        <v>169</v>
      </c>
      <c r="L24" s="13" t="s">
        <v>169</v>
      </c>
      <c r="M24" s="13" t="s">
        <v>169</v>
      </c>
      <c r="N24" s="13" t="s">
        <v>169</v>
      </c>
      <c r="O24" s="13" t="s">
        <v>169</v>
      </c>
      <c r="P24" s="13" t="s">
        <v>169</v>
      </c>
      <c r="Q24" s="13" t="s">
        <v>169</v>
      </c>
      <c r="R24" s="13" t="s">
        <v>169</v>
      </c>
      <c r="S24" s="13" t="s">
        <v>169</v>
      </c>
    </row>
    <row r="25" spans="1:19" ht="30" customHeight="1" x14ac:dyDescent="0.25">
      <c r="A25" s="33" t="s">
        <v>99</v>
      </c>
      <c r="B25" s="17" t="s">
        <v>100</v>
      </c>
      <c r="C25" s="4">
        <f>_xlfn.XLOOKUP(B25,Lookups!G:G,Lookups!H:H,"",0,1)</f>
        <v>10</v>
      </c>
      <c r="D25" s="4" t="str">
        <f>_xlfn.XLOOKUP(C25,[1]Sheet2!$A$2:$A$11,[1]Sheet2!$B$2:$B$11,"Not found")</f>
        <v>Suggested Learning</v>
      </c>
      <c r="E25" s="4"/>
      <c r="F25" s="13" t="str">
        <f>_xlfn.XLOOKUP(B25,'Holiday Inn Express'!B:B,'Holiday Inn Express'!F:F,"",0,1)</f>
        <v>Self-paced Online Learning.</v>
      </c>
      <c r="G25" s="13" t="s">
        <v>170</v>
      </c>
      <c r="H25" s="13" t="s">
        <v>169</v>
      </c>
      <c r="I25" s="13" t="s">
        <v>169</v>
      </c>
      <c r="J25" s="13" t="s">
        <v>169</v>
      </c>
      <c r="K25" s="13" t="s">
        <v>169</v>
      </c>
      <c r="L25" s="13" t="s">
        <v>169</v>
      </c>
      <c r="M25" s="13" t="s">
        <v>169</v>
      </c>
      <c r="N25" s="13" t="s">
        <v>169</v>
      </c>
      <c r="O25" s="13" t="s">
        <v>169</v>
      </c>
      <c r="P25" s="13" t="s">
        <v>169</v>
      </c>
      <c r="Q25" s="13" t="s">
        <v>169</v>
      </c>
      <c r="R25" s="13" t="s">
        <v>169</v>
      </c>
      <c r="S25" s="13" t="s">
        <v>169</v>
      </c>
    </row>
    <row r="26" spans="1:19" ht="30" customHeight="1" x14ac:dyDescent="0.25">
      <c r="A26" s="33" t="s">
        <v>101</v>
      </c>
      <c r="B26" s="17" t="s">
        <v>102</v>
      </c>
      <c r="C26" s="4">
        <f>_xlfn.XLOOKUP(B26,Lookups!G:G,Lookups!H:H,"",0,1)</f>
        <v>10</v>
      </c>
      <c r="D26" s="4" t="str">
        <f>_xlfn.XLOOKUP(C26,[1]Sheet2!$A$2:$A$11,[1]Sheet2!$B$2:$B$11,"Not found")</f>
        <v>Suggested Learning</v>
      </c>
      <c r="E26" s="4"/>
      <c r="F26" s="13" t="str">
        <f>_xlfn.XLOOKUP(B26,'Holiday Inn Express'!B:B,'Holiday Inn Express'!F:F,"",0,1)</f>
        <v>Self-paced Online Learning.</v>
      </c>
      <c r="G26" s="13" t="s">
        <v>170</v>
      </c>
      <c r="H26" s="13" t="s">
        <v>170</v>
      </c>
      <c r="I26" s="13" t="s">
        <v>170</v>
      </c>
      <c r="J26" s="13" t="s">
        <v>170</v>
      </c>
      <c r="K26" s="13" t="s">
        <v>169</v>
      </c>
      <c r="L26" s="13" t="s">
        <v>169</v>
      </c>
      <c r="M26" s="13" t="s">
        <v>169</v>
      </c>
      <c r="N26" s="13" t="s">
        <v>169</v>
      </c>
      <c r="O26" s="13" t="s">
        <v>169</v>
      </c>
      <c r="P26" s="13" t="s">
        <v>169</v>
      </c>
      <c r="Q26" s="13" t="s">
        <v>169</v>
      </c>
      <c r="R26" s="13" t="s">
        <v>169</v>
      </c>
      <c r="S26" s="13" t="s">
        <v>169</v>
      </c>
    </row>
    <row r="27" spans="1:19" ht="30" customHeight="1" x14ac:dyDescent="0.25">
      <c r="A27" s="33" t="s">
        <v>103</v>
      </c>
      <c r="B27" s="17" t="s">
        <v>104</v>
      </c>
      <c r="C27" s="4">
        <f>_xlfn.XLOOKUP(B27,Lookups!G:G,Lookups!H:H,"",0,1)</f>
        <v>10</v>
      </c>
      <c r="D27" s="4" t="str">
        <f>_xlfn.XLOOKUP(C27,[1]Sheet2!$A$2:$A$11,[1]Sheet2!$B$2:$B$11,"Not found")</f>
        <v>Suggested Learning</v>
      </c>
      <c r="E27" s="4"/>
      <c r="F27" s="13" t="str">
        <f>_xlfn.XLOOKUP(B27,'Holiday Inn Express'!B:B,'Holiday Inn Express'!F:F,"",0,1)</f>
        <v>Self-paced Online Learning (5 Minutes).</v>
      </c>
      <c r="G27" s="13" t="s">
        <v>170</v>
      </c>
      <c r="H27" s="13" t="s">
        <v>170</v>
      </c>
      <c r="I27" s="13" t="s">
        <v>170</v>
      </c>
      <c r="J27" s="13" t="s">
        <v>170</v>
      </c>
      <c r="K27" s="13" t="s">
        <v>169</v>
      </c>
      <c r="L27" s="13" t="s">
        <v>169</v>
      </c>
      <c r="M27" s="13" t="s">
        <v>169</v>
      </c>
      <c r="N27" s="13" t="s">
        <v>169</v>
      </c>
      <c r="O27" s="13" t="s">
        <v>169</v>
      </c>
      <c r="P27" s="13" t="s">
        <v>169</v>
      </c>
      <c r="Q27" s="13" t="s">
        <v>169</v>
      </c>
      <c r="R27" s="13" t="s">
        <v>169</v>
      </c>
      <c r="S27" s="13" t="s">
        <v>169</v>
      </c>
    </row>
    <row r="28" spans="1:19" ht="30" customHeight="1" x14ac:dyDescent="0.25">
      <c r="A28" s="33" t="s">
        <v>105</v>
      </c>
      <c r="B28" s="17" t="s">
        <v>106</v>
      </c>
      <c r="C28" s="4">
        <f>_xlfn.XLOOKUP(B28,Lookups!G:G,Lookups!H:H,"",0,1)</f>
        <v>10</v>
      </c>
      <c r="D28" s="4" t="str">
        <f>_xlfn.XLOOKUP(C28,[1]Sheet2!$A$2:$A$11,[1]Sheet2!$B$2:$B$11,"Not found")</f>
        <v>Suggested Learning</v>
      </c>
      <c r="E28" s="4"/>
      <c r="F28" s="13" t="str">
        <f>_xlfn.XLOOKUP(B28,'Holiday Inn Express'!B:B,'Holiday Inn Express'!F:F,"",0,1)</f>
        <v>Self-paced Online Learning (25 Minutes).</v>
      </c>
      <c r="G28" s="13" t="s">
        <v>170</v>
      </c>
      <c r="H28" s="13" t="s">
        <v>170</v>
      </c>
      <c r="I28" s="13" t="s">
        <v>169</v>
      </c>
      <c r="J28" s="13" t="s">
        <v>169</v>
      </c>
      <c r="K28" s="13" t="s">
        <v>169</v>
      </c>
      <c r="L28" s="13" t="s">
        <v>169</v>
      </c>
      <c r="M28" s="13" t="s">
        <v>169</v>
      </c>
      <c r="N28" s="13" t="s">
        <v>169</v>
      </c>
      <c r="O28" s="13" t="s">
        <v>169</v>
      </c>
      <c r="P28" s="13" t="s">
        <v>169</v>
      </c>
      <c r="Q28" s="13" t="s">
        <v>169</v>
      </c>
      <c r="R28" s="13" t="s">
        <v>169</v>
      </c>
      <c r="S28" s="13" t="s">
        <v>169</v>
      </c>
    </row>
    <row r="29" spans="1:19" ht="30" customHeight="1" x14ac:dyDescent="0.25">
      <c r="A29" s="49" t="s">
        <v>250</v>
      </c>
      <c r="B29" s="32" t="s">
        <v>251</v>
      </c>
      <c r="C29" s="4">
        <v>5</v>
      </c>
      <c r="D29" s="4" t="s">
        <v>176</v>
      </c>
      <c r="E29" s="4"/>
      <c r="F29" s="13" t="str">
        <f>_xlfn.XLOOKUP(B29,'Holiday Inn Express'!B:B,'Holiday Inn Express'!F:F,"",0,1)</f>
        <v>Self-paced Online Learning (1 Hour 30 Minutes).</v>
      </c>
      <c r="G29" s="13" t="s">
        <v>170</v>
      </c>
      <c r="H29" s="13" t="s">
        <v>170</v>
      </c>
      <c r="I29" s="13" t="s">
        <v>169</v>
      </c>
      <c r="J29" s="13" t="s">
        <v>169</v>
      </c>
      <c r="K29" s="13" t="s">
        <v>169</v>
      </c>
      <c r="L29" s="13" t="s">
        <v>169</v>
      </c>
      <c r="M29" s="13" t="s">
        <v>169</v>
      </c>
      <c r="N29" s="13" t="s">
        <v>169</v>
      </c>
      <c r="O29" s="13" t="s">
        <v>169</v>
      </c>
      <c r="P29" s="13" t="s">
        <v>169</v>
      </c>
      <c r="Q29" s="13" t="s">
        <v>169</v>
      </c>
      <c r="R29" s="13" t="s">
        <v>169</v>
      </c>
      <c r="S29" s="13" t="s">
        <v>169</v>
      </c>
    </row>
    <row r="30" spans="1:19" ht="30" customHeight="1" x14ac:dyDescent="0.25">
      <c r="A30" s="33" t="s">
        <v>107</v>
      </c>
      <c r="B30" s="17" t="s">
        <v>108</v>
      </c>
      <c r="C30" s="4">
        <f>_xlfn.XLOOKUP(B30,Lookups!G:G,Lookups!H:H,"",0,1)</f>
        <v>10</v>
      </c>
      <c r="D30" s="4" t="str">
        <f>_xlfn.XLOOKUP(C30,[1]Sheet2!$A$2:$A$11,[1]Sheet2!$B$2:$B$11,"Not found")</f>
        <v>Suggested Learning</v>
      </c>
      <c r="E30" s="4"/>
      <c r="F30" s="13" t="str">
        <f>_xlfn.XLOOKUP(B30,'Holiday Inn Express'!B:B,'Holiday Inn Express'!F:F,"",0,1)</f>
        <v>Self-paced Online Learning.</v>
      </c>
      <c r="G30" s="13" t="s">
        <v>170</v>
      </c>
      <c r="H30" s="13" t="s">
        <v>170</v>
      </c>
      <c r="I30" s="13" t="s">
        <v>169</v>
      </c>
      <c r="J30" s="13" t="s">
        <v>169</v>
      </c>
      <c r="K30" s="13" t="s">
        <v>169</v>
      </c>
      <c r="L30" s="13" t="s">
        <v>169</v>
      </c>
      <c r="M30" s="13" t="s">
        <v>169</v>
      </c>
      <c r="N30" s="13" t="s">
        <v>169</v>
      </c>
      <c r="O30" s="13" t="s">
        <v>169</v>
      </c>
      <c r="P30" s="13" t="s">
        <v>169</v>
      </c>
      <c r="Q30" s="13" t="s">
        <v>169</v>
      </c>
      <c r="R30" s="13" t="s">
        <v>169</v>
      </c>
      <c r="S30" s="13" t="s">
        <v>169</v>
      </c>
    </row>
    <row r="31" spans="1:19" ht="30" customHeight="1" x14ac:dyDescent="0.25">
      <c r="A31" s="33" t="s">
        <v>109</v>
      </c>
      <c r="B31" s="12" t="s">
        <v>110</v>
      </c>
      <c r="C31" s="4">
        <f>_xlfn.XLOOKUP(B31,Lookups!G:G,Lookups!H:H,"",0,1)</f>
        <v>6</v>
      </c>
      <c r="D31" s="4" t="str">
        <f>_xlfn.XLOOKUP(C31,[1]Sheet2!$A$2:$A$11,[1]Sheet2!$B$2:$B$11,"Not found")</f>
        <v>within 120 days</v>
      </c>
      <c r="E31" s="4"/>
      <c r="F31" s="13" t="str">
        <f>_xlfn.XLOOKUP(B31,'Holiday Inn Express'!B:B,'Holiday Inn Express'!F:F,"",0,1)</f>
        <v>In-person Instructor Led Course (see available dates &amp; times by clicking the link below). Prerequisite:  Must Complete Sales Learning Pathway</v>
      </c>
      <c r="G31" s="13" t="s">
        <v>170</v>
      </c>
      <c r="H31" s="13" t="s">
        <v>170</v>
      </c>
      <c r="I31" s="13" t="s">
        <v>169</v>
      </c>
      <c r="J31" s="13" t="s">
        <v>169</v>
      </c>
      <c r="K31" s="13" t="s">
        <v>169</v>
      </c>
      <c r="L31" s="13" t="s">
        <v>169</v>
      </c>
      <c r="M31" s="13" t="s">
        <v>169</v>
      </c>
      <c r="N31" s="13" t="s">
        <v>169</v>
      </c>
      <c r="O31" s="13" t="s">
        <v>169</v>
      </c>
      <c r="P31" s="13" t="s">
        <v>169</v>
      </c>
      <c r="Q31" s="13" t="s">
        <v>169</v>
      </c>
      <c r="R31" s="13" t="s">
        <v>169</v>
      </c>
      <c r="S31" s="13" t="s">
        <v>169</v>
      </c>
    </row>
    <row r="32" spans="1:19" ht="30" customHeight="1" x14ac:dyDescent="0.25">
      <c r="A32" s="33" t="s">
        <v>111</v>
      </c>
      <c r="B32" s="17" t="s">
        <v>112</v>
      </c>
      <c r="C32" s="4">
        <f>_xlfn.XLOOKUP(B32,Lookups!G:G,Lookups!H:H,"",0,1)</f>
        <v>10</v>
      </c>
      <c r="D32" s="4" t="str">
        <f>_xlfn.XLOOKUP(C32,[1]Sheet2!$A$2:$A$11,[1]Sheet2!$B$2:$B$11,"Not found")</f>
        <v>Suggested Learning</v>
      </c>
      <c r="E32" s="4"/>
      <c r="F32" s="13" t="str">
        <f>_xlfn.XLOOKUP(B32,'Holiday Inn Express'!B:B,'Holiday Inn Express'!F:F,"",0,1)</f>
        <v>Self-paced Online Learning.</v>
      </c>
      <c r="G32" s="13" t="s">
        <v>170</v>
      </c>
      <c r="H32" s="13" t="s">
        <v>169</v>
      </c>
      <c r="I32" s="13" t="s">
        <v>170</v>
      </c>
      <c r="J32" s="13" t="s">
        <v>169</v>
      </c>
      <c r="K32" s="13" t="s">
        <v>169</v>
      </c>
      <c r="L32" s="13" t="s">
        <v>169</v>
      </c>
      <c r="M32" s="13" t="s">
        <v>169</v>
      </c>
      <c r="N32" s="13" t="s">
        <v>169</v>
      </c>
      <c r="O32" s="13" t="s">
        <v>169</v>
      </c>
      <c r="P32" s="13" t="s">
        <v>169</v>
      </c>
      <c r="Q32" s="13" t="s">
        <v>169</v>
      </c>
      <c r="R32" s="13" t="s">
        <v>169</v>
      </c>
      <c r="S32" s="13" t="s">
        <v>169</v>
      </c>
    </row>
    <row r="33" spans="1:19" ht="30" customHeight="1" x14ac:dyDescent="0.25">
      <c r="A33" s="33" t="s">
        <v>113</v>
      </c>
      <c r="B33" s="17" t="s">
        <v>114</v>
      </c>
      <c r="C33" s="4">
        <f>_xlfn.XLOOKUP(B33,Lookups!G:G,Lookups!H:H,"",0,1)</f>
        <v>10</v>
      </c>
      <c r="D33" s="4" t="str">
        <f>_xlfn.XLOOKUP(C33,[1]Sheet2!$A$2:$A$11,[1]Sheet2!$B$2:$B$11,"Not found")</f>
        <v>Suggested Learning</v>
      </c>
      <c r="E33" s="4"/>
      <c r="F33" s="13" t="str">
        <f>_xlfn.XLOOKUP(B33,'Holiday Inn Express'!B:B,'Holiday Inn Express'!F:F,"",0,1)</f>
        <v>Self-paced Online Learning.</v>
      </c>
      <c r="G33" s="13" t="s">
        <v>170</v>
      </c>
      <c r="H33" s="13" t="s">
        <v>169</v>
      </c>
      <c r="I33" s="13" t="s">
        <v>170</v>
      </c>
      <c r="J33" s="13" t="s">
        <v>169</v>
      </c>
      <c r="K33" s="13" t="s">
        <v>169</v>
      </c>
      <c r="L33" s="13" t="s">
        <v>169</v>
      </c>
      <c r="M33" s="13" t="s">
        <v>169</v>
      </c>
      <c r="N33" s="13" t="s">
        <v>169</v>
      </c>
      <c r="O33" s="13" t="s">
        <v>169</v>
      </c>
      <c r="P33" s="13" t="s">
        <v>169</v>
      </c>
      <c r="Q33" s="13" t="s">
        <v>169</v>
      </c>
      <c r="R33" s="13" t="s">
        <v>169</v>
      </c>
      <c r="S33" s="13" t="s">
        <v>169</v>
      </c>
    </row>
    <row r="34" spans="1:19" ht="30" customHeight="1" x14ac:dyDescent="0.25">
      <c r="A34" s="33" t="s">
        <v>115</v>
      </c>
      <c r="B34" s="17" t="s">
        <v>116</v>
      </c>
      <c r="C34" s="4">
        <f>_xlfn.XLOOKUP(B34,Lookups!G:G,Lookups!H:H,"",0,1)</f>
        <v>10</v>
      </c>
      <c r="D34" s="4" t="str">
        <f>_xlfn.XLOOKUP(C34,[1]Sheet2!$A$2:$A$11,[1]Sheet2!$B$2:$B$11,"Not found")</f>
        <v>Suggested Learning</v>
      </c>
      <c r="E34" s="4"/>
      <c r="F34" s="13" t="str">
        <f>_xlfn.XLOOKUP(B34,'Holiday Inn Express'!B:B,'Holiday Inn Express'!F:F,"",0,1)</f>
        <v>Self-paced Online Learning.</v>
      </c>
      <c r="G34" s="13" t="s">
        <v>170</v>
      </c>
      <c r="H34" s="13" t="s">
        <v>169</v>
      </c>
      <c r="I34" s="13" t="s">
        <v>170</v>
      </c>
      <c r="J34" s="13" t="s">
        <v>169</v>
      </c>
      <c r="K34" s="13" t="s">
        <v>169</v>
      </c>
      <c r="L34" s="13" t="s">
        <v>169</v>
      </c>
      <c r="M34" s="13" t="s">
        <v>169</v>
      </c>
      <c r="N34" s="13" t="s">
        <v>169</v>
      </c>
      <c r="O34" s="13" t="s">
        <v>169</v>
      </c>
      <c r="P34" s="13" t="s">
        <v>169</v>
      </c>
      <c r="Q34" s="13" t="s">
        <v>169</v>
      </c>
      <c r="R34" s="13" t="s">
        <v>169</v>
      </c>
      <c r="S34" s="13" t="s">
        <v>169</v>
      </c>
    </row>
    <row r="35" spans="1:19" ht="30" customHeight="1" x14ac:dyDescent="0.25">
      <c r="A35" s="33" t="s">
        <v>117</v>
      </c>
      <c r="B35" s="17" t="s">
        <v>118</v>
      </c>
      <c r="C35" s="4">
        <f>_xlfn.XLOOKUP(B35,Lookups!G:G,Lookups!H:H,"",0,1)</f>
        <v>10</v>
      </c>
      <c r="D35" s="4" t="str">
        <f>_xlfn.XLOOKUP(C35,[1]Sheet2!$A$2:$A$11,[1]Sheet2!$B$2:$B$11,"Not found")</f>
        <v>Suggested Learning</v>
      </c>
      <c r="E35" s="4"/>
      <c r="F35" s="13" t="str">
        <f>_xlfn.XLOOKUP(B35,'Holiday Inn Express'!B:B,'Holiday Inn Express'!F:F,"",0,1)</f>
        <v>Self-paced Online Learning.</v>
      </c>
      <c r="G35" s="13" t="s">
        <v>170</v>
      </c>
      <c r="H35" s="13" t="s">
        <v>169</v>
      </c>
      <c r="I35" s="13" t="s">
        <v>170</v>
      </c>
      <c r="J35" s="13" t="s">
        <v>169</v>
      </c>
      <c r="K35" s="13" t="s">
        <v>169</v>
      </c>
      <c r="L35" s="13" t="s">
        <v>169</v>
      </c>
      <c r="M35" s="13" t="s">
        <v>169</v>
      </c>
      <c r="N35" s="13" t="s">
        <v>169</v>
      </c>
      <c r="O35" s="13" t="s">
        <v>169</v>
      </c>
      <c r="P35" s="13" t="s">
        <v>169</v>
      </c>
      <c r="Q35" s="13" t="s">
        <v>169</v>
      </c>
      <c r="R35" s="13" t="s">
        <v>169</v>
      </c>
      <c r="S35" s="13" t="s">
        <v>169</v>
      </c>
    </row>
    <row r="36" spans="1:19" ht="30" customHeight="1" x14ac:dyDescent="0.25">
      <c r="A36" s="33" t="s">
        <v>119</v>
      </c>
      <c r="B36" s="17" t="s">
        <v>120</v>
      </c>
      <c r="C36" s="4">
        <f>_xlfn.XLOOKUP(B36,Lookups!G:G,Lookups!H:H,"",0,1)</f>
        <v>10</v>
      </c>
      <c r="D36" s="4" t="str">
        <f>_xlfn.XLOOKUP(C36,[1]Sheet2!$A$2:$A$11,[1]Sheet2!$B$2:$B$11,"Not found")</f>
        <v>Suggested Learning</v>
      </c>
      <c r="E36" s="4"/>
      <c r="F36" s="13" t="str">
        <f>_xlfn.XLOOKUP(B36,'Holiday Inn Express'!B:B,'Holiday Inn Express'!F:F,"",0,1)</f>
        <v>Self-paced Online Learning.</v>
      </c>
      <c r="G36" s="13" t="s">
        <v>170</v>
      </c>
      <c r="H36" s="13" t="s">
        <v>169</v>
      </c>
      <c r="I36" s="13" t="s">
        <v>170</v>
      </c>
      <c r="J36" s="13" t="s">
        <v>169</v>
      </c>
      <c r="K36" s="13" t="s">
        <v>169</v>
      </c>
      <c r="L36" s="13" t="s">
        <v>169</v>
      </c>
      <c r="M36" s="13" t="s">
        <v>169</v>
      </c>
      <c r="N36" s="13" t="s">
        <v>169</v>
      </c>
      <c r="O36" s="13" t="s">
        <v>169</v>
      </c>
      <c r="P36" s="13" t="s">
        <v>169</v>
      </c>
      <c r="Q36" s="13" t="s">
        <v>169</v>
      </c>
      <c r="R36" s="13" t="s">
        <v>169</v>
      </c>
      <c r="S36" s="13" t="s">
        <v>169</v>
      </c>
    </row>
    <row r="37" spans="1:19" ht="30" customHeight="1" x14ac:dyDescent="0.25">
      <c r="A37" s="33" t="s">
        <v>121</v>
      </c>
      <c r="B37" s="17" t="s">
        <v>307</v>
      </c>
      <c r="C37" s="4">
        <f>_xlfn.XLOOKUP(B37,Lookups!G:G,Lookups!H:H,"",0,1)</f>
        <v>10</v>
      </c>
      <c r="D37" s="4" t="str">
        <f>_xlfn.XLOOKUP(C37,[1]Sheet2!$A$2:$A$11,[1]Sheet2!$B$2:$B$11,"Not found")</f>
        <v>Suggested Learning</v>
      </c>
      <c r="E37" s="4"/>
      <c r="F37" s="13" t="str">
        <f>_xlfn.XLOOKUP(B37,'Holiday Inn Express'!B:B,'Holiday Inn Express'!F:F,"",0,1)</f>
        <v>Self-paced Online Learning.</v>
      </c>
      <c r="G37" s="13" t="s">
        <v>170</v>
      </c>
      <c r="H37" s="13" t="s">
        <v>169</v>
      </c>
      <c r="I37" s="13" t="s">
        <v>170</v>
      </c>
      <c r="J37" s="13" t="s">
        <v>169</v>
      </c>
      <c r="K37" s="13" t="s">
        <v>169</v>
      </c>
      <c r="L37" s="13" t="s">
        <v>169</v>
      </c>
      <c r="M37" s="13" t="s">
        <v>169</v>
      </c>
      <c r="N37" s="13" t="s">
        <v>169</v>
      </c>
      <c r="O37" s="13" t="s">
        <v>169</v>
      </c>
      <c r="P37" s="13" t="s">
        <v>169</v>
      </c>
      <c r="Q37" s="13" t="s">
        <v>169</v>
      </c>
      <c r="R37" s="13" t="s">
        <v>169</v>
      </c>
      <c r="S37" s="13" t="s">
        <v>169</v>
      </c>
    </row>
    <row r="38" spans="1:19" ht="30" customHeight="1" x14ac:dyDescent="0.25">
      <c r="A38" s="33" t="s">
        <v>122</v>
      </c>
      <c r="B38" s="17" t="s">
        <v>123</v>
      </c>
      <c r="C38" s="4">
        <f>_xlfn.XLOOKUP(B38,Lookups!G:G,Lookups!H:H,"",0,1)</f>
        <v>5</v>
      </c>
      <c r="D38" s="4" t="str">
        <f>_xlfn.XLOOKUP(C38,[1]Sheet2!$A$2:$A$11,[1]Sheet2!$B$2:$B$11,"Not found")</f>
        <v>within 90 days</v>
      </c>
      <c r="E38" s="4"/>
      <c r="F38" s="13" t="str">
        <f>_xlfn.XLOOKUP(B38,'Holiday Inn Express'!B:B,'Holiday Inn Express'!F:F,"",0,1)</f>
        <v/>
      </c>
      <c r="G38" s="13" t="s">
        <v>170</v>
      </c>
      <c r="H38" s="13" t="s">
        <v>169</v>
      </c>
      <c r="I38" s="13" t="s">
        <v>170</v>
      </c>
      <c r="J38" s="13" t="s">
        <v>169</v>
      </c>
      <c r="K38" s="13" t="s">
        <v>169</v>
      </c>
      <c r="L38" s="13" t="s">
        <v>169</v>
      </c>
      <c r="M38" s="13" t="s">
        <v>169</v>
      </c>
      <c r="N38" s="13" t="s">
        <v>169</v>
      </c>
      <c r="O38" s="13" t="s">
        <v>169</v>
      </c>
      <c r="P38" s="13" t="s">
        <v>169</v>
      </c>
      <c r="Q38" s="13" t="s">
        <v>169</v>
      </c>
      <c r="R38" s="13" t="s">
        <v>169</v>
      </c>
      <c r="S38" s="13" t="s">
        <v>169</v>
      </c>
    </row>
    <row r="39" spans="1:19" ht="30" customHeight="1" x14ac:dyDescent="0.25">
      <c r="A39" s="30" t="s">
        <v>124</v>
      </c>
      <c r="B39" s="8" t="s">
        <v>238</v>
      </c>
      <c r="C39" s="4">
        <v>7</v>
      </c>
      <c r="D39" s="4" t="s">
        <v>178</v>
      </c>
      <c r="E39" s="4"/>
      <c r="F39" s="13" t="str">
        <f>_xlfn.XLOOKUP(B39,'Holiday Inn Express'!B:B,'Holiday Inn Express'!F:F,"",0,1)</f>
        <v>Access to the system will automatically be given. For New Hotels - only to be completed after official hotel opening.</v>
      </c>
      <c r="G39" s="13" t="s">
        <v>170</v>
      </c>
      <c r="H39" s="13" t="s">
        <v>169</v>
      </c>
      <c r="I39" s="13" t="s">
        <v>169</v>
      </c>
      <c r="J39" s="13" t="s">
        <v>169</v>
      </c>
      <c r="K39" s="13" t="s">
        <v>169</v>
      </c>
      <c r="L39" s="13" t="s">
        <v>169</v>
      </c>
      <c r="M39" s="13" t="s">
        <v>169</v>
      </c>
      <c r="N39" s="13" t="s">
        <v>169</v>
      </c>
      <c r="O39" s="13" t="s">
        <v>169</v>
      </c>
      <c r="P39" s="13" t="s">
        <v>169</v>
      </c>
      <c r="Q39" s="13" t="s">
        <v>169</v>
      </c>
      <c r="R39" s="13" t="s">
        <v>169</v>
      </c>
      <c r="S39" s="13" t="s">
        <v>169</v>
      </c>
    </row>
    <row r="40" spans="1:19" ht="30" customHeight="1" x14ac:dyDescent="0.25">
      <c r="A40" s="30" t="s">
        <v>125</v>
      </c>
      <c r="B40" s="8" t="s">
        <v>239</v>
      </c>
      <c r="C40" s="4">
        <v>7</v>
      </c>
      <c r="D40" s="4" t="s">
        <v>178</v>
      </c>
      <c r="E40" s="4"/>
      <c r="F40" s="13" t="str">
        <f>_xlfn.XLOOKUP(B40,'Holiday Inn Express'!B:B,'Holiday Inn Express'!F:F,"",0,1)</f>
        <v>Prerequisite: Must complete Onboarding Learning Plan</v>
      </c>
      <c r="G40" s="13" t="s">
        <v>170</v>
      </c>
      <c r="H40" s="13" t="s">
        <v>169</v>
      </c>
      <c r="I40" s="13" t="s">
        <v>169</v>
      </c>
      <c r="J40" s="13" t="s">
        <v>169</v>
      </c>
      <c r="K40" s="13" t="s">
        <v>169</v>
      </c>
      <c r="L40" s="13" t="s">
        <v>169</v>
      </c>
      <c r="M40" s="13" t="s">
        <v>169</v>
      </c>
      <c r="N40" s="13" t="s">
        <v>169</v>
      </c>
      <c r="O40" s="13" t="s">
        <v>169</v>
      </c>
      <c r="P40" s="13" t="s">
        <v>169</v>
      </c>
      <c r="Q40" s="13" t="s">
        <v>169</v>
      </c>
      <c r="R40" s="13" t="s">
        <v>169</v>
      </c>
      <c r="S40" s="13" t="s">
        <v>169</v>
      </c>
    </row>
    <row r="41" spans="1:19" ht="30" customHeight="1" x14ac:dyDescent="0.25">
      <c r="A41" s="33" t="s">
        <v>127</v>
      </c>
      <c r="B41" s="13" t="s">
        <v>128</v>
      </c>
      <c r="C41" s="4">
        <f>_xlfn.XLOOKUP(B41,Lookups!G:G,Lookups!H:H,"",0,1)</f>
        <v>10</v>
      </c>
      <c r="D41" s="4" t="str">
        <f>_xlfn.XLOOKUP(C41,[1]Sheet2!$A$2:$A$11,[1]Sheet2!$B$2:$B$11,"Not found")</f>
        <v>Suggested Learning</v>
      </c>
      <c r="E41" s="4"/>
      <c r="F41" s="13" t="str">
        <f>_xlfn.XLOOKUP(B41,'Holiday Inn Express'!B:B,'Holiday Inn Express'!F:F,"",0,1)</f>
        <v>Self-paced Online Learning (25 Minutes).</v>
      </c>
      <c r="G41" s="13" t="s">
        <v>170</v>
      </c>
      <c r="H41" s="18" t="s">
        <v>169</v>
      </c>
      <c r="I41" s="18" t="s">
        <v>169</v>
      </c>
      <c r="J41" s="18" t="s">
        <v>169</v>
      </c>
      <c r="K41" s="18" t="s">
        <v>169</v>
      </c>
      <c r="L41" s="18" t="s">
        <v>170</v>
      </c>
      <c r="M41" s="18" t="s">
        <v>169</v>
      </c>
      <c r="N41" s="18" t="s">
        <v>169</v>
      </c>
      <c r="O41" s="18" t="s">
        <v>169</v>
      </c>
      <c r="P41" s="18" t="s">
        <v>169</v>
      </c>
      <c r="Q41" s="18" t="s">
        <v>169</v>
      </c>
      <c r="R41" s="18" t="s">
        <v>169</v>
      </c>
      <c r="S41" s="18" t="s">
        <v>169</v>
      </c>
    </row>
    <row r="42" spans="1:19" ht="30" customHeight="1" x14ac:dyDescent="0.25">
      <c r="A42" s="30" t="s">
        <v>129</v>
      </c>
      <c r="B42" s="17" t="s">
        <v>130</v>
      </c>
      <c r="C42" s="4">
        <f>_xlfn.XLOOKUP(B42,Lookups!G:G,Lookups!H:H,"",0,1)</f>
        <v>10</v>
      </c>
      <c r="D42" s="4" t="str">
        <f>_xlfn.XLOOKUP(C42,[1]Sheet2!$A$2:$A$11,[1]Sheet2!$B$2:$B$11,"Not found")</f>
        <v>Suggested Learning</v>
      </c>
      <c r="E42" s="4"/>
      <c r="F42" s="13" t="str">
        <f>_xlfn.XLOOKUP(B42,'Holiday Inn Express'!B:B,'Holiday Inn Express'!F:F,"",0,1)</f>
        <v>Self-paced Online Learning (25 Minutes).</v>
      </c>
      <c r="G42" s="18" t="s">
        <v>169</v>
      </c>
      <c r="H42" s="18" t="s">
        <v>169</v>
      </c>
      <c r="I42" s="18" t="s">
        <v>169</v>
      </c>
      <c r="J42" s="18" t="s">
        <v>169</v>
      </c>
      <c r="K42" s="18" t="s">
        <v>169</v>
      </c>
      <c r="L42" s="18" t="s">
        <v>169</v>
      </c>
      <c r="M42" s="18" t="s">
        <v>169</v>
      </c>
      <c r="N42" s="18" t="s">
        <v>169</v>
      </c>
      <c r="O42" s="18" t="s">
        <v>169</v>
      </c>
      <c r="P42" s="18" t="s">
        <v>170</v>
      </c>
      <c r="Q42" s="18" t="s">
        <v>169</v>
      </c>
      <c r="R42" s="18" t="s">
        <v>169</v>
      </c>
      <c r="S42" s="18" t="s">
        <v>169</v>
      </c>
    </row>
  </sheetData>
  <hyperlinks>
    <hyperlink ref="B2" r:id="rId1" display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xr:uid="{51928F60-9BFB-412C-A4C6-6542D2885194}"/>
    <hyperlink ref="B11" r:id="rId2" display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xr:uid="{28A2A55D-5F2E-46AE-BD6E-D0173DE43431}"/>
    <hyperlink ref="B9" r:id="rId3" display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xr:uid="{92A751BF-4C30-4C09-AF42-C7B1AF067F8B}"/>
    <hyperlink ref="B31" r:id="rId4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5828D514-1F1C-4DFD-8BE5-B4CC63D2D347}"/>
    <hyperlink ref="B12" r:id="rId5" xr:uid="{800DBD23-818D-43C5-81B7-E5EE45D159F3}"/>
    <hyperlink ref="B14" r:id="rId6" xr:uid="{487F9902-AD28-4203-95D0-CE0D764DAE80}"/>
    <hyperlink ref="B15" r:id="rId7" xr:uid="{356973A5-D0C5-4FAD-BDC0-64696E06D6B1}"/>
    <hyperlink ref="B16" r:id="rId8" xr:uid="{B63782C4-F7DF-4337-8964-AB7889783291}"/>
    <hyperlink ref="B17" r:id="rId9" xr:uid="{EE4D9788-E9BD-4FC6-A688-DB545F4FF866}"/>
    <hyperlink ref="B18" r:id="rId10" xr:uid="{729332B2-3220-4C98-B1A4-A55D8F0DEF20}"/>
    <hyperlink ref="B27" r:id="rId11" xr:uid="{8D166DD5-ACE9-4F60-877A-DCD92C808432}"/>
    <hyperlink ref="B26" r:id="rId12" xr:uid="{DACD4267-BBDF-49AE-A045-F6D0F837AD89}"/>
    <hyperlink ref="B25" r:id="rId13" xr:uid="{B4D1B383-7BFE-4F37-8CB9-0088DC12CD2E}"/>
    <hyperlink ref="B24" r:id="rId14" xr:uid="{62471EE9-D7BF-49C6-83D1-0D3D18761DC5}"/>
    <hyperlink ref="B23" r:id="rId15" xr:uid="{01963E6F-5C3A-4A11-A652-060930EFAA40}"/>
    <hyperlink ref="B22" r:id="rId16" xr:uid="{E92A4F16-FF52-40C2-8035-31A4133D8018}"/>
    <hyperlink ref="B21" r:id="rId17" xr:uid="{45A48BD6-8D6F-423E-A18E-43C92CA638E6}"/>
    <hyperlink ref="B28" r:id="rId18" xr:uid="{2419E073-E978-41DB-9D7A-2E05302121B2}"/>
    <hyperlink ref="B30" r:id="rId19" xr:uid="{75A4AF86-A2C6-4771-B704-85491A666209}"/>
    <hyperlink ref="B32" r:id="rId20" xr:uid="{2F8D1F57-943C-451E-B991-79EB6E462962}"/>
    <hyperlink ref="B33" r:id="rId21" xr:uid="{BDCF6319-6A61-46B3-A747-49352781D139}"/>
    <hyperlink ref="B13" r:id="rId22" xr:uid="{FF73C14D-CF78-4C13-BEDB-7EBF137DF77C}"/>
    <hyperlink ref="B38" r:id="rId23" xr:uid="{6773CA00-9CBB-4AC2-90EC-DA3059FBADBB}"/>
    <hyperlink ref="B34" r:id="rId24" xr:uid="{EE348F77-9348-4C1D-B7B6-075665ADE5A1}"/>
    <hyperlink ref="B35" r:id="rId25" xr:uid="{78549E4E-D657-4D59-A26A-305DF0725EEE}"/>
    <hyperlink ref="B36" r:id="rId26" xr:uid="{881C5F22-1A0F-4980-B664-D43B656379DB}"/>
    <hyperlink ref="B3" r:id="rId27" xr:uid="{46907DBC-633E-43EF-B5E0-3FF6238C8871}"/>
    <hyperlink ref="B41" r:id="rId28" xr:uid="{15F3BFC6-95AA-467A-821C-F15BE0888F2C}"/>
    <hyperlink ref="B42" r:id="rId29" xr:uid="{4B10AFF0-DB85-4625-A01A-EE28EE75C05C}"/>
    <hyperlink ref="B19" r:id="rId30" xr:uid="{77E716DC-72F9-4543-840C-FA62EA160C6C}"/>
    <hyperlink ref="B20" r:id="rId31" xr:uid="{B0FA15FC-C230-49F7-BC38-CB459B77C0BE}"/>
    <hyperlink ref="B39" r:id="rId32" xr:uid="{31FA58D0-92DA-465B-ABF3-A514A263D803}"/>
    <hyperlink ref="B40" r:id="rId33" xr:uid="{120EAD32-E010-481F-9DA7-B3B8AF3ADC20}"/>
    <hyperlink ref="B10" r:id="rId34" xr:uid="{061CDF1B-4C7C-43CB-B4F3-F4C3CDB370E5}"/>
    <hyperlink ref="B29" r:id="rId35" xr:uid="{42F76E12-1F1D-42C2-8FEF-53F0CED7AAD0}"/>
    <hyperlink ref="B8" r:id="rId36" display="Hotel Experience Champion Guide" xr:uid="{4B668AAE-940C-4B34-87F8-71ADEE1E59AB}"/>
    <hyperlink ref="B4" r:id="rId37" display="Managed Hotel - Leaders Guide" xr:uid="{B32B8CA4-C60B-4182-A1E3-94E14FA46BE2}"/>
    <hyperlink ref="B5" r:id="rId38" xr:uid="{62A75643-645E-42C0-9DF6-C56FABFDD920}"/>
    <hyperlink ref="B6" r:id="rId39" xr:uid="{77A34C76-E028-4581-8782-2700B7B5246E}"/>
    <hyperlink ref="B7" r:id="rId40" xr:uid="{E0D54F44-D657-4997-BF5F-AFEE34AE1674}"/>
    <hyperlink ref="B37" r:id="rId41" display="IHG53503" xr:uid="{3FACE341-9CB4-4AC4-B7D1-5D98E01ED83E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A7538-5191-4B34-BA87-D4D2178BC572}">
  <dimension ref="A1:H110"/>
  <sheetViews>
    <sheetView topLeftCell="A70" workbookViewId="0">
      <selection activeCell="M15" sqref="M15"/>
    </sheetView>
  </sheetViews>
  <sheetFormatPr defaultRowHeight="15" x14ac:dyDescent="0.25"/>
  <cols>
    <col min="2" max="2" width="18.42578125" bestFit="1" customWidth="1"/>
    <col min="6" max="6" width="68" style="47" bestFit="1" customWidth="1"/>
    <col min="7" max="7" width="41.28515625" style="47" bestFit="1" customWidth="1"/>
    <col min="8" max="8" width="35.42578125" style="48" bestFit="1" customWidth="1"/>
  </cols>
  <sheetData>
    <row r="1" spans="1:8" ht="15.75" thickBot="1" x14ac:dyDescent="0.3">
      <c r="A1" s="4" t="s">
        <v>188</v>
      </c>
      <c r="B1" s="5" t="s">
        <v>171</v>
      </c>
      <c r="F1" s="45" t="s">
        <v>275</v>
      </c>
      <c r="G1" s="45" t="s">
        <v>189</v>
      </c>
      <c r="H1" s="57" t="s">
        <v>182</v>
      </c>
    </row>
    <row r="2" spans="1:8" ht="15.75" thickBot="1" x14ac:dyDescent="0.3">
      <c r="A2" s="4">
        <v>1</v>
      </c>
      <c r="B2" s="6" t="s">
        <v>172</v>
      </c>
      <c r="F2" s="68" t="s">
        <v>271</v>
      </c>
      <c r="G2" s="69" t="s">
        <v>272</v>
      </c>
      <c r="H2" s="57">
        <v>10</v>
      </c>
    </row>
    <row r="3" spans="1:8" ht="15.75" thickBot="1" x14ac:dyDescent="0.3">
      <c r="A3" s="4">
        <v>2</v>
      </c>
      <c r="B3" s="6" t="s">
        <v>173</v>
      </c>
      <c r="F3" s="45" t="s">
        <v>274</v>
      </c>
      <c r="G3" s="58" t="s">
        <v>274</v>
      </c>
      <c r="H3" s="57">
        <v>10</v>
      </c>
    </row>
    <row r="4" spans="1:8" ht="15.75" thickBot="1" x14ac:dyDescent="0.3">
      <c r="A4" s="4">
        <v>3</v>
      </c>
      <c r="B4" s="6" t="s">
        <v>174</v>
      </c>
      <c r="F4" s="59" t="s">
        <v>263</v>
      </c>
      <c r="G4" s="60" t="s">
        <v>264</v>
      </c>
      <c r="H4" s="57">
        <v>10</v>
      </c>
    </row>
    <row r="5" spans="1:8" ht="15.75" thickBot="1" x14ac:dyDescent="0.3">
      <c r="A5" s="4">
        <v>4</v>
      </c>
      <c r="B5" s="6" t="s">
        <v>175</v>
      </c>
      <c r="F5" s="25" t="s">
        <v>166</v>
      </c>
      <c r="G5" s="26" t="s">
        <v>167</v>
      </c>
      <c r="H5" s="71">
        <v>3</v>
      </c>
    </row>
    <row r="6" spans="1:8" ht="15.75" thickBot="1" x14ac:dyDescent="0.3">
      <c r="A6" s="4">
        <v>5</v>
      </c>
      <c r="B6" s="6" t="s">
        <v>176</v>
      </c>
      <c r="F6" s="25" t="s">
        <v>164</v>
      </c>
      <c r="G6" s="26" t="s">
        <v>165</v>
      </c>
      <c r="H6" s="71">
        <v>3</v>
      </c>
    </row>
    <row r="7" spans="1:8" ht="15.75" thickBot="1" x14ac:dyDescent="0.3">
      <c r="A7" s="4">
        <v>6</v>
      </c>
      <c r="B7" s="6" t="s">
        <v>177</v>
      </c>
      <c r="F7" s="45" t="s">
        <v>153</v>
      </c>
      <c r="G7" s="61" t="s">
        <v>154</v>
      </c>
      <c r="H7" s="57">
        <v>3</v>
      </c>
    </row>
    <row r="8" spans="1:8" ht="15.75" thickBot="1" x14ac:dyDescent="0.3">
      <c r="A8" s="4">
        <v>7</v>
      </c>
      <c r="B8" s="6" t="s">
        <v>178</v>
      </c>
      <c r="F8" s="45" t="s">
        <v>204</v>
      </c>
      <c r="G8" s="61" t="s">
        <v>205</v>
      </c>
      <c r="H8" s="57">
        <v>3</v>
      </c>
    </row>
    <row r="9" spans="1:8" ht="15.75" thickBot="1" x14ac:dyDescent="0.3">
      <c r="A9" s="4">
        <v>8</v>
      </c>
      <c r="B9" s="6" t="s">
        <v>179</v>
      </c>
      <c r="F9" s="45" t="s">
        <v>228</v>
      </c>
      <c r="G9" s="61" t="s">
        <v>229</v>
      </c>
      <c r="H9" s="57">
        <v>3</v>
      </c>
    </row>
    <row r="10" spans="1:8" ht="15.75" thickBot="1" x14ac:dyDescent="0.3">
      <c r="A10" s="4">
        <v>9</v>
      </c>
      <c r="B10" s="6" t="s">
        <v>180</v>
      </c>
      <c r="F10" s="45" t="s">
        <v>226</v>
      </c>
      <c r="G10" s="58" t="s">
        <v>227</v>
      </c>
      <c r="H10" s="57">
        <v>3</v>
      </c>
    </row>
    <row r="11" spans="1:8" ht="15.75" thickBot="1" x14ac:dyDescent="0.3">
      <c r="A11" s="4">
        <v>10</v>
      </c>
      <c r="B11" s="6" t="s">
        <v>181</v>
      </c>
      <c r="F11" s="45" t="s">
        <v>230</v>
      </c>
      <c r="G11" s="61" t="s">
        <v>231</v>
      </c>
      <c r="H11" s="57">
        <v>3</v>
      </c>
    </row>
    <row r="12" spans="1:8" x14ac:dyDescent="0.25">
      <c r="F12" s="45" t="s">
        <v>232</v>
      </c>
      <c r="G12" s="62" t="s">
        <v>233</v>
      </c>
      <c r="H12" s="57">
        <v>3</v>
      </c>
    </row>
    <row r="13" spans="1:8" x14ac:dyDescent="0.25">
      <c r="F13" s="45" t="s">
        <v>223</v>
      </c>
      <c r="G13" s="58" t="s">
        <v>224</v>
      </c>
      <c r="H13" s="57">
        <v>7</v>
      </c>
    </row>
    <row r="14" spans="1:8" x14ac:dyDescent="0.25">
      <c r="F14" s="27" t="s">
        <v>214</v>
      </c>
      <c r="G14" s="61" t="s">
        <v>215</v>
      </c>
      <c r="H14" s="57">
        <v>3</v>
      </c>
    </row>
    <row r="15" spans="1:8" x14ac:dyDescent="0.25">
      <c r="F15" s="27" t="s">
        <v>253</v>
      </c>
      <c r="G15" s="51" t="s">
        <v>254</v>
      </c>
      <c r="H15" s="57">
        <v>6</v>
      </c>
    </row>
    <row r="16" spans="1:8" x14ac:dyDescent="0.25">
      <c r="F16" s="45" t="s">
        <v>265</v>
      </c>
      <c r="G16" s="51" t="s">
        <v>266</v>
      </c>
      <c r="H16" s="57">
        <v>10</v>
      </c>
    </row>
    <row r="17" spans="6:8" x14ac:dyDescent="0.25">
      <c r="F17" s="45" t="s">
        <v>200</v>
      </c>
      <c r="G17" s="51" t="s">
        <v>201</v>
      </c>
      <c r="H17" s="57">
        <v>2</v>
      </c>
    </row>
    <row r="18" spans="6:8" x14ac:dyDescent="0.25">
      <c r="F18" s="21" t="s">
        <v>276</v>
      </c>
      <c r="G18" s="22" t="s">
        <v>155</v>
      </c>
      <c r="H18" s="71">
        <v>3</v>
      </c>
    </row>
    <row r="19" spans="6:8" x14ac:dyDescent="0.25">
      <c r="F19" s="70" t="s">
        <v>152</v>
      </c>
      <c r="G19" s="50" t="s">
        <v>151</v>
      </c>
      <c r="H19" s="71">
        <v>10</v>
      </c>
    </row>
    <row r="20" spans="6:8" x14ac:dyDescent="0.25">
      <c r="F20" s="25" t="s">
        <v>133</v>
      </c>
      <c r="G20" s="26" t="s">
        <v>134</v>
      </c>
      <c r="H20" s="57">
        <v>10</v>
      </c>
    </row>
    <row r="21" spans="6:8" x14ac:dyDescent="0.25">
      <c r="F21" s="70" t="s">
        <v>137</v>
      </c>
      <c r="G21" s="50" t="s">
        <v>138</v>
      </c>
      <c r="H21" s="57">
        <v>10</v>
      </c>
    </row>
    <row r="22" spans="6:8" x14ac:dyDescent="0.25">
      <c r="F22" s="70" t="s">
        <v>135</v>
      </c>
      <c r="G22" s="50" t="s">
        <v>136</v>
      </c>
      <c r="H22" s="57">
        <v>10</v>
      </c>
    </row>
    <row r="23" spans="6:8" x14ac:dyDescent="0.25">
      <c r="F23" s="45" t="s">
        <v>202</v>
      </c>
      <c r="G23" s="51" t="s">
        <v>203</v>
      </c>
      <c r="H23" s="57">
        <v>3</v>
      </c>
    </row>
    <row r="24" spans="6:8" x14ac:dyDescent="0.25">
      <c r="F24" s="45" t="s">
        <v>234</v>
      </c>
      <c r="G24" s="51" t="s">
        <v>235</v>
      </c>
      <c r="H24" s="57"/>
    </row>
    <row r="25" spans="6:8" x14ac:dyDescent="0.25">
      <c r="F25" s="45" t="s">
        <v>129</v>
      </c>
      <c r="G25" s="51" t="s">
        <v>130</v>
      </c>
      <c r="H25" s="57">
        <v>10</v>
      </c>
    </row>
    <row r="26" spans="6:8" x14ac:dyDescent="0.25">
      <c r="F26" s="45" t="s">
        <v>127</v>
      </c>
      <c r="G26" s="45" t="s">
        <v>128</v>
      </c>
      <c r="H26" s="57">
        <v>10</v>
      </c>
    </row>
    <row r="27" spans="6:8" ht="25.5" x14ac:dyDescent="0.25">
      <c r="F27" s="25" t="s">
        <v>278</v>
      </c>
      <c r="G27" s="73" t="s">
        <v>288</v>
      </c>
      <c r="H27" s="71">
        <v>3</v>
      </c>
    </row>
    <row r="28" spans="6:8" ht="25.5" x14ac:dyDescent="0.25">
      <c r="F28" s="25" t="s">
        <v>278</v>
      </c>
      <c r="G28" s="73" t="s">
        <v>289</v>
      </c>
      <c r="H28" s="71">
        <v>3</v>
      </c>
    </row>
    <row r="29" spans="6:8" x14ac:dyDescent="0.25">
      <c r="F29" s="27" t="s">
        <v>248</v>
      </c>
      <c r="G29" s="51" t="s">
        <v>249</v>
      </c>
      <c r="H29" s="57">
        <v>7</v>
      </c>
    </row>
    <row r="30" spans="6:8" x14ac:dyDescent="0.25">
      <c r="F30" s="27" t="s">
        <v>246</v>
      </c>
      <c r="G30" s="51" t="s">
        <v>247</v>
      </c>
      <c r="H30" s="57">
        <v>7</v>
      </c>
    </row>
    <row r="31" spans="6:8" x14ac:dyDescent="0.25">
      <c r="F31" s="27" t="s">
        <v>125</v>
      </c>
      <c r="G31" s="63" t="s">
        <v>239</v>
      </c>
      <c r="H31" s="57">
        <v>7</v>
      </c>
    </row>
    <row r="32" spans="6:8" x14ac:dyDescent="0.25">
      <c r="F32" s="27" t="s">
        <v>124</v>
      </c>
      <c r="G32" s="63" t="s">
        <v>238</v>
      </c>
      <c r="H32" s="57">
        <v>7</v>
      </c>
    </row>
    <row r="33" spans="6:8" x14ac:dyDescent="0.25">
      <c r="F33" s="27" t="s">
        <v>237</v>
      </c>
      <c r="G33" s="45" t="s">
        <v>193</v>
      </c>
      <c r="H33" s="57">
        <v>3</v>
      </c>
    </row>
    <row r="34" spans="6:8" x14ac:dyDescent="0.25">
      <c r="F34" s="45" t="s">
        <v>107</v>
      </c>
      <c r="G34" s="61" t="s">
        <v>108</v>
      </c>
      <c r="H34" s="57">
        <v>10</v>
      </c>
    </row>
    <row r="35" spans="6:8" x14ac:dyDescent="0.25">
      <c r="F35" s="25" t="s">
        <v>91</v>
      </c>
      <c r="G35" s="50" t="s">
        <v>92</v>
      </c>
      <c r="H35" s="57">
        <v>10</v>
      </c>
    </row>
    <row r="36" spans="6:8" x14ac:dyDescent="0.25">
      <c r="F36" s="27" t="s">
        <v>252</v>
      </c>
      <c r="G36" s="51" t="s">
        <v>106</v>
      </c>
      <c r="H36" s="57">
        <v>10</v>
      </c>
    </row>
    <row r="37" spans="6:8" x14ac:dyDescent="0.25">
      <c r="F37" s="25" t="s">
        <v>111</v>
      </c>
      <c r="G37" s="50" t="s">
        <v>112</v>
      </c>
      <c r="H37" s="57">
        <v>10</v>
      </c>
    </row>
    <row r="38" spans="6:8" x14ac:dyDescent="0.25">
      <c r="F38" s="27" t="s">
        <v>219</v>
      </c>
      <c r="G38" s="64" t="s">
        <v>220</v>
      </c>
      <c r="H38" s="57">
        <v>3</v>
      </c>
    </row>
    <row r="39" spans="6:8" x14ac:dyDescent="0.25">
      <c r="F39" s="27" t="s">
        <v>198</v>
      </c>
      <c r="G39" s="61" t="s">
        <v>199</v>
      </c>
      <c r="H39" s="57">
        <v>1</v>
      </c>
    </row>
    <row r="40" spans="6:8" x14ac:dyDescent="0.25">
      <c r="F40" s="45" t="s">
        <v>67</v>
      </c>
      <c r="G40" s="61" t="s">
        <v>68</v>
      </c>
      <c r="H40" s="57">
        <v>3</v>
      </c>
    </row>
    <row r="41" spans="6:8" x14ac:dyDescent="0.25">
      <c r="F41" s="25" t="s">
        <v>69</v>
      </c>
      <c r="G41" s="72" t="s">
        <v>285</v>
      </c>
      <c r="H41" s="52">
        <v>3</v>
      </c>
    </row>
    <row r="42" spans="6:8" x14ac:dyDescent="0.25">
      <c r="F42" s="25" t="s">
        <v>281</v>
      </c>
      <c r="G42" s="26" t="s">
        <v>158</v>
      </c>
      <c r="H42" s="71">
        <v>3</v>
      </c>
    </row>
    <row r="43" spans="6:8" x14ac:dyDescent="0.25">
      <c r="F43" s="25" t="s">
        <v>280</v>
      </c>
      <c r="G43" s="26" t="s">
        <v>157</v>
      </c>
      <c r="H43" s="71">
        <v>3</v>
      </c>
    </row>
    <row r="44" spans="6:8" x14ac:dyDescent="0.25">
      <c r="F44" s="27" t="s">
        <v>240</v>
      </c>
      <c r="G44" s="51" t="s">
        <v>241</v>
      </c>
      <c r="H44" s="57">
        <v>3</v>
      </c>
    </row>
    <row r="45" spans="6:8" x14ac:dyDescent="0.25">
      <c r="F45" s="59" t="s">
        <v>259</v>
      </c>
      <c r="G45" s="60" t="s">
        <v>260</v>
      </c>
      <c r="H45" s="57">
        <v>10</v>
      </c>
    </row>
    <row r="46" spans="6:8" x14ac:dyDescent="0.25">
      <c r="F46" s="45" t="s">
        <v>83</v>
      </c>
      <c r="G46" s="50" t="s">
        <v>84</v>
      </c>
      <c r="H46" s="65">
        <v>10</v>
      </c>
    </row>
    <row r="47" spans="6:8" x14ac:dyDescent="0.25">
      <c r="F47" s="33" t="s">
        <v>121</v>
      </c>
      <c r="G47" s="19" t="s">
        <v>307</v>
      </c>
      <c r="H47" s="57">
        <v>10</v>
      </c>
    </row>
    <row r="48" spans="6:8" x14ac:dyDescent="0.25">
      <c r="F48" s="25" t="s">
        <v>97</v>
      </c>
      <c r="G48" s="50" t="s">
        <v>98</v>
      </c>
      <c r="H48" s="57">
        <v>10</v>
      </c>
    </row>
    <row r="49" spans="6:8" x14ac:dyDescent="0.25">
      <c r="F49" s="25" t="s">
        <v>93</v>
      </c>
      <c r="G49" s="50" t="s">
        <v>94</v>
      </c>
      <c r="H49" s="57">
        <v>10</v>
      </c>
    </row>
    <row r="50" spans="6:8" x14ac:dyDescent="0.25">
      <c r="F50" s="25" t="s">
        <v>95</v>
      </c>
      <c r="G50" s="50" t="s">
        <v>96</v>
      </c>
      <c r="H50" s="57">
        <v>10</v>
      </c>
    </row>
    <row r="51" spans="6:8" x14ac:dyDescent="0.25">
      <c r="F51" s="25" t="s">
        <v>99</v>
      </c>
      <c r="G51" s="50" t="s">
        <v>100</v>
      </c>
      <c r="H51" s="57">
        <v>10</v>
      </c>
    </row>
    <row r="52" spans="6:8" x14ac:dyDescent="0.25">
      <c r="F52" s="25" t="s">
        <v>101</v>
      </c>
      <c r="G52" s="50" t="s">
        <v>102</v>
      </c>
      <c r="H52" s="57">
        <v>10</v>
      </c>
    </row>
    <row r="53" spans="6:8" x14ac:dyDescent="0.25">
      <c r="F53" s="25" t="s">
        <v>115</v>
      </c>
      <c r="G53" s="50" t="s">
        <v>116</v>
      </c>
      <c r="H53" s="57">
        <v>10</v>
      </c>
    </row>
    <row r="54" spans="6:8" x14ac:dyDescent="0.25">
      <c r="F54" s="25" t="s">
        <v>117</v>
      </c>
      <c r="G54" s="50" t="s">
        <v>118</v>
      </c>
      <c r="H54" s="57">
        <v>10</v>
      </c>
    </row>
    <row r="55" spans="6:8" x14ac:dyDescent="0.25">
      <c r="F55" s="25" t="s">
        <v>119</v>
      </c>
      <c r="G55" s="50" t="s">
        <v>120</v>
      </c>
      <c r="H55" s="57">
        <v>10</v>
      </c>
    </row>
    <row r="56" spans="6:8" x14ac:dyDescent="0.25">
      <c r="F56" s="59" t="s">
        <v>103</v>
      </c>
      <c r="G56" s="60" t="s">
        <v>104</v>
      </c>
      <c r="H56" s="57">
        <v>10</v>
      </c>
    </row>
    <row r="57" spans="6:8" ht="25.5" x14ac:dyDescent="0.25">
      <c r="F57" s="25" t="s">
        <v>277</v>
      </c>
      <c r="G57" s="73" t="s">
        <v>286</v>
      </c>
      <c r="H57" s="71">
        <v>3</v>
      </c>
    </row>
    <row r="58" spans="6:8" ht="25.5" x14ac:dyDescent="0.25">
      <c r="F58" s="25" t="s">
        <v>277</v>
      </c>
      <c r="G58" s="73" t="s">
        <v>287</v>
      </c>
      <c r="H58" s="71">
        <v>3</v>
      </c>
    </row>
    <row r="59" spans="6:8" x14ac:dyDescent="0.25">
      <c r="F59" s="45" t="s">
        <v>77</v>
      </c>
      <c r="G59" s="51" t="s">
        <v>207</v>
      </c>
      <c r="H59" s="57">
        <v>3</v>
      </c>
    </row>
    <row r="60" spans="6:8" x14ac:dyDescent="0.25">
      <c r="F60" s="45" t="s">
        <v>77</v>
      </c>
      <c r="G60" s="50" t="s">
        <v>78</v>
      </c>
      <c r="H60" s="65">
        <v>3</v>
      </c>
    </row>
    <row r="61" spans="6:8" x14ac:dyDescent="0.25">
      <c r="F61" s="27" t="s">
        <v>168</v>
      </c>
      <c r="G61" s="61" t="s">
        <v>72</v>
      </c>
      <c r="H61" s="57">
        <v>3</v>
      </c>
    </row>
    <row r="62" spans="6:8" x14ac:dyDescent="0.25">
      <c r="F62" s="59" t="s">
        <v>261</v>
      </c>
      <c r="G62" s="60" t="s">
        <v>262</v>
      </c>
      <c r="H62" s="57">
        <v>10</v>
      </c>
    </row>
    <row r="63" spans="6:8" x14ac:dyDescent="0.25">
      <c r="F63" s="27" t="s">
        <v>221</v>
      </c>
      <c r="G63" s="61" t="s">
        <v>222</v>
      </c>
      <c r="H63" s="57">
        <v>10</v>
      </c>
    </row>
    <row r="64" spans="6:8" x14ac:dyDescent="0.25">
      <c r="F64" s="45" t="s">
        <v>244</v>
      </c>
      <c r="G64" s="66" t="s">
        <v>245</v>
      </c>
      <c r="H64" s="57">
        <v>5</v>
      </c>
    </row>
    <row r="65" spans="6:8" x14ac:dyDescent="0.25">
      <c r="F65" s="57" t="s">
        <v>87</v>
      </c>
      <c r="G65" s="64" t="s">
        <v>88</v>
      </c>
      <c r="H65" s="57">
        <v>3</v>
      </c>
    </row>
    <row r="66" spans="6:8" x14ac:dyDescent="0.25">
      <c r="F66" s="45" t="s">
        <v>210</v>
      </c>
      <c r="G66" s="51" t="s">
        <v>211</v>
      </c>
      <c r="H66" s="57">
        <v>10</v>
      </c>
    </row>
    <row r="67" spans="6:8" x14ac:dyDescent="0.25">
      <c r="F67" s="45" t="s">
        <v>208</v>
      </c>
      <c r="G67" s="61" t="s">
        <v>209</v>
      </c>
      <c r="H67" s="57">
        <v>5</v>
      </c>
    </row>
    <row r="68" spans="6:8" x14ac:dyDescent="0.25">
      <c r="F68" s="27" t="s">
        <v>206</v>
      </c>
      <c r="G68" s="67" t="s">
        <v>90</v>
      </c>
      <c r="H68" s="57">
        <v>3</v>
      </c>
    </row>
    <row r="69" spans="6:8" x14ac:dyDescent="0.25">
      <c r="F69" s="45" t="s">
        <v>109</v>
      </c>
      <c r="G69" s="61" t="s">
        <v>110</v>
      </c>
      <c r="H69" s="57">
        <v>6</v>
      </c>
    </row>
    <row r="70" spans="6:8" x14ac:dyDescent="0.25">
      <c r="F70" s="45" t="s">
        <v>109</v>
      </c>
      <c r="G70" s="61" t="s">
        <v>110</v>
      </c>
      <c r="H70" s="57">
        <v>5</v>
      </c>
    </row>
    <row r="71" spans="6:8" x14ac:dyDescent="0.25">
      <c r="F71" s="25" t="s">
        <v>161</v>
      </c>
      <c r="G71" s="51" t="s">
        <v>162</v>
      </c>
      <c r="H71" s="71">
        <v>3</v>
      </c>
    </row>
    <row r="72" spans="6:8" x14ac:dyDescent="0.25">
      <c r="F72" s="25" t="s">
        <v>282</v>
      </c>
      <c r="G72" s="26" t="s">
        <v>283</v>
      </c>
      <c r="H72" s="71">
        <v>3</v>
      </c>
    </row>
    <row r="73" spans="6:8" x14ac:dyDescent="0.25">
      <c r="F73" s="27" t="s">
        <v>217</v>
      </c>
      <c r="G73" s="61" t="s">
        <v>218</v>
      </c>
      <c r="H73" s="57">
        <v>3</v>
      </c>
    </row>
    <row r="74" spans="6:8" x14ac:dyDescent="0.25">
      <c r="F74" s="27" t="s">
        <v>70</v>
      </c>
      <c r="G74" s="61" t="s">
        <v>71</v>
      </c>
      <c r="H74" s="57">
        <v>4</v>
      </c>
    </row>
    <row r="75" spans="6:8" x14ac:dyDescent="0.25">
      <c r="F75" s="45" t="s">
        <v>75</v>
      </c>
      <c r="G75" s="51" t="s">
        <v>225</v>
      </c>
      <c r="H75" s="57">
        <v>3</v>
      </c>
    </row>
    <row r="76" spans="6:8" x14ac:dyDescent="0.25">
      <c r="F76" s="45" t="s">
        <v>75</v>
      </c>
      <c r="G76" s="51" t="s">
        <v>76</v>
      </c>
      <c r="H76" s="57">
        <v>3</v>
      </c>
    </row>
    <row r="77" spans="6:8" x14ac:dyDescent="0.25">
      <c r="F77" s="45" t="s">
        <v>192</v>
      </c>
      <c r="G77" s="45" t="s">
        <v>193</v>
      </c>
      <c r="H77" s="57">
        <v>9</v>
      </c>
    </row>
    <row r="78" spans="6:8" x14ac:dyDescent="0.25">
      <c r="F78" s="27" t="s">
        <v>212</v>
      </c>
      <c r="G78" s="45" t="s">
        <v>213</v>
      </c>
      <c r="H78" s="57">
        <v>9</v>
      </c>
    </row>
    <row r="79" spans="6:8" x14ac:dyDescent="0.25">
      <c r="F79" s="45" t="s">
        <v>85</v>
      </c>
      <c r="G79" s="50" t="s">
        <v>86</v>
      </c>
      <c r="H79" s="65">
        <v>10</v>
      </c>
    </row>
    <row r="80" spans="6:8" x14ac:dyDescent="0.25">
      <c r="F80" s="25" t="s">
        <v>159</v>
      </c>
      <c r="G80" s="26" t="s">
        <v>160</v>
      </c>
      <c r="H80" s="71">
        <v>3</v>
      </c>
    </row>
    <row r="81" spans="6:8" x14ac:dyDescent="0.25">
      <c r="F81" s="45" t="s">
        <v>242</v>
      </c>
      <c r="G81" s="51" t="s">
        <v>243</v>
      </c>
      <c r="H81" s="57">
        <v>10</v>
      </c>
    </row>
    <row r="82" spans="6:8" x14ac:dyDescent="0.25">
      <c r="F82" s="45" t="s">
        <v>79</v>
      </c>
      <c r="G82" s="51" t="s">
        <v>80</v>
      </c>
      <c r="H82" s="57">
        <v>3</v>
      </c>
    </row>
    <row r="83" spans="6:8" ht="25.5" x14ac:dyDescent="0.25">
      <c r="F83" s="21" t="s">
        <v>279</v>
      </c>
      <c r="G83" s="22" t="s">
        <v>156</v>
      </c>
      <c r="H83" s="71">
        <v>3</v>
      </c>
    </row>
    <row r="84" spans="6:8" x14ac:dyDescent="0.25">
      <c r="F84" s="27" t="s">
        <v>196</v>
      </c>
      <c r="G84" s="61" t="s">
        <v>197</v>
      </c>
      <c r="H84" s="57">
        <v>3</v>
      </c>
    </row>
    <row r="85" spans="6:8" x14ac:dyDescent="0.25">
      <c r="F85" s="45" t="s">
        <v>236</v>
      </c>
      <c r="G85" s="45" t="s">
        <v>213</v>
      </c>
      <c r="H85" s="57">
        <v>9</v>
      </c>
    </row>
    <row r="86" spans="6:8" x14ac:dyDescent="0.25">
      <c r="F86" s="25" t="s">
        <v>122</v>
      </c>
      <c r="G86" s="51" t="s">
        <v>123</v>
      </c>
      <c r="H86" s="57">
        <v>5</v>
      </c>
    </row>
    <row r="87" spans="6:8" x14ac:dyDescent="0.25">
      <c r="F87" s="45" t="s">
        <v>257</v>
      </c>
      <c r="G87" s="61" t="s">
        <v>258</v>
      </c>
      <c r="H87" s="57">
        <v>5</v>
      </c>
    </row>
    <row r="88" spans="6:8" x14ac:dyDescent="0.25">
      <c r="F88" s="45" t="s">
        <v>255</v>
      </c>
      <c r="G88" s="64" t="s">
        <v>256</v>
      </c>
      <c r="H88" s="57">
        <v>5</v>
      </c>
    </row>
    <row r="89" spans="6:8" x14ac:dyDescent="0.25">
      <c r="F89" s="27" t="s">
        <v>190</v>
      </c>
      <c r="G89" s="51" t="s">
        <v>191</v>
      </c>
      <c r="H89" s="57">
        <v>3</v>
      </c>
    </row>
    <row r="90" spans="6:8" x14ac:dyDescent="0.25">
      <c r="F90" s="25" t="s">
        <v>113</v>
      </c>
      <c r="G90" s="50" t="s">
        <v>114</v>
      </c>
      <c r="H90" s="57">
        <v>10</v>
      </c>
    </row>
    <row r="91" spans="6:8" x14ac:dyDescent="0.25">
      <c r="F91" s="45" t="s">
        <v>250</v>
      </c>
      <c r="G91" s="66" t="s">
        <v>251</v>
      </c>
      <c r="H91" s="57">
        <v>5</v>
      </c>
    </row>
    <row r="92" spans="6:8" x14ac:dyDescent="0.25">
      <c r="F92" s="45" t="s">
        <v>267</v>
      </c>
      <c r="G92" s="45" t="s">
        <v>193</v>
      </c>
      <c r="H92" s="57">
        <v>3</v>
      </c>
    </row>
    <row r="93" spans="6:8" x14ac:dyDescent="0.25">
      <c r="F93" s="25" t="s">
        <v>141</v>
      </c>
      <c r="G93" s="26" t="s">
        <v>142</v>
      </c>
      <c r="H93" s="71">
        <v>3</v>
      </c>
    </row>
    <row r="94" spans="6:8" x14ac:dyDescent="0.25">
      <c r="F94" s="25" t="s">
        <v>139</v>
      </c>
      <c r="G94" s="26" t="s">
        <v>140</v>
      </c>
      <c r="H94" s="71">
        <v>3</v>
      </c>
    </row>
    <row r="95" spans="6:8" x14ac:dyDescent="0.25">
      <c r="F95" s="45" t="s">
        <v>268</v>
      </c>
      <c r="G95" s="61" t="s">
        <v>269</v>
      </c>
      <c r="H95" s="57">
        <v>3</v>
      </c>
    </row>
    <row r="96" spans="6:8" x14ac:dyDescent="0.25">
      <c r="F96" s="45" t="s">
        <v>73</v>
      </c>
      <c r="G96" s="51" t="s">
        <v>74</v>
      </c>
      <c r="H96" s="57">
        <v>3</v>
      </c>
    </row>
    <row r="97" spans="6:8" x14ac:dyDescent="0.25">
      <c r="F97" s="27" t="s">
        <v>65</v>
      </c>
      <c r="G97" s="61" t="s">
        <v>66</v>
      </c>
      <c r="H97" s="57">
        <v>3</v>
      </c>
    </row>
    <row r="98" spans="6:8" x14ac:dyDescent="0.25">
      <c r="F98" s="45" t="s">
        <v>216</v>
      </c>
      <c r="G98" s="51" t="s">
        <v>82</v>
      </c>
      <c r="H98" s="57">
        <v>3</v>
      </c>
    </row>
    <row r="99" spans="6:8" x14ac:dyDescent="0.25">
      <c r="F99" s="25" t="s">
        <v>145</v>
      </c>
      <c r="G99" s="26" t="s">
        <v>146</v>
      </c>
      <c r="H99" s="71">
        <v>3</v>
      </c>
    </row>
    <row r="100" spans="6:8" x14ac:dyDescent="0.25">
      <c r="F100" s="25" t="s">
        <v>143</v>
      </c>
      <c r="G100" s="26" t="s">
        <v>144</v>
      </c>
      <c r="H100" s="71">
        <v>3</v>
      </c>
    </row>
    <row r="101" spans="6:8" x14ac:dyDescent="0.25">
      <c r="F101" s="27" t="s">
        <v>194</v>
      </c>
      <c r="G101" s="61" t="s">
        <v>195</v>
      </c>
      <c r="H101" s="57">
        <v>3</v>
      </c>
    </row>
    <row r="102" spans="6:8" x14ac:dyDescent="0.25">
      <c r="F102" s="36" t="s">
        <v>317</v>
      </c>
      <c r="G102" s="20" t="s">
        <v>163</v>
      </c>
      <c r="H102" s="56">
        <v>3</v>
      </c>
    </row>
    <row r="103" spans="6:8" x14ac:dyDescent="0.25">
      <c r="F103" s="46"/>
      <c r="G103" s="46"/>
      <c r="H103" s="46"/>
    </row>
    <row r="104" spans="6:8" x14ac:dyDescent="0.25">
      <c r="F104" s="46"/>
      <c r="G104" s="46"/>
      <c r="H104" s="46"/>
    </row>
    <row r="105" spans="6:8" x14ac:dyDescent="0.25">
      <c r="F105" s="46"/>
      <c r="G105" s="46"/>
      <c r="H105" s="46"/>
    </row>
    <row r="106" spans="6:8" x14ac:dyDescent="0.25">
      <c r="F106" s="46"/>
      <c r="G106" s="46"/>
      <c r="H106" s="46"/>
    </row>
    <row r="107" spans="6:8" x14ac:dyDescent="0.25">
      <c r="F107" s="46"/>
      <c r="G107" s="46"/>
      <c r="H107" s="46"/>
    </row>
    <row r="108" spans="6:8" x14ac:dyDescent="0.25">
      <c r="F108" s="46"/>
      <c r="G108" s="46"/>
      <c r="H108" s="46"/>
    </row>
    <row r="109" spans="6:8" x14ac:dyDescent="0.25">
      <c r="F109" s="46"/>
      <c r="G109" s="46"/>
      <c r="H109" s="46"/>
    </row>
    <row r="110" spans="6:8" x14ac:dyDescent="0.25">
      <c r="F110" s="46"/>
      <c r="G110" s="46"/>
      <c r="H110" s="46"/>
    </row>
  </sheetData>
  <autoFilter ref="F1:H101" xr:uid="{200A7538-5191-4B34-BA87-D4D2178BC572}"/>
  <sortState xmlns:xlrd2="http://schemas.microsoft.com/office/spreadsheetml/2017/richdata2" ref="F2:H101">
    <sortCondition ref="F97:F101"/>
  </sortState>
  <hyperlinks>
    <hyperlink ref="G101" r:id="rId1" display="https://mylearning.sumtotal.host/rcore/c/pillarRedirect?isDeepLink=1&amp;relyingParty=LM&amp;url=https%3A%2F%2Fmylearning.sumtotal.host%2Flearning%2Fcore%2Factivitydetails%2FViewActivityDetails%3FUserMode%3D0%26ActivityId%3D10770%26ClassUnderStruct%3DFalse%26CallerUrl%3D%2Flearning%2Flearner%2FHome%2FGoToPortal%3Fkey%3D0%26SearchCallerURL%3Dhttps%253A%252F%252Fmylearning.sumtotal.host%252Fcore%252FsearchRedirect%253FViewType%253DList%2526SearchText%253Dwelcome%25252520to%25252520ihg%2526startRow%253D0%26SearchCallerID%3D2" xr:uid="{E541BD0C-9F23-4A1B-8400-53875E92C168}"/>
    <hyperlink ref="G14" r:id="rId2" display="https://mylearning.sumtotal.host/rcore/c/pillarRedirect?isDeepLink=1&amp;relyingParty=LM&amp;url=https%3A%2F%2Fmylearning.sumtotal.host%2Flearning%2Fcore%2Factivitydetails%2FViewActivityDetails%3FUserMode%3D0%26ActivityId%3D41%26ClassUnderStruct%3DFalse%26CallerUrl%3D%2Flearning%2Flearner%2FHome%2FGoToPortal%3Fkey%3D0%26SearchCallerURL%3Dhttps%253A%252F%252Fmylearning.sumtotal.host%252Fcore%252FsearchRedirect%253FViewType%253DList%2526SearchText%253Ddigital%25252520check-in%2526startRow%253D0%26SearchCallerID%3D2" xr:uid="{F3A8B427-8A92-43EE-B717-2EAC3CE54F2C}"/>
    <hyperlink ref="G10" r:id="rId3" xr:uid="{489AD67A-55F4-4044-8C07-FA88069B035F}"/>
    <hyperlink ref="G9" r:id="rId4" display="https://mylearning.sumtotal.host/rcore/c/pillarRedirect?isDeepLink=1&amp;relyingParty=LM&amp;url=https%3A%2F%2Fmylearning.sumtotal.host%2Flearning%2Fcore%2Factivitydetails%2FViewActivityDetails%3FUserMode%3D0%26ActivityId%3D5814%26ClassUnderStruct%3DFalse%26CallerUrl%3D%2Flearning%2Flearner%2FHome%2FGoToPortal%3Fkey%3D0%26SearchCallerURL%3Dhttps%253A%252F%252Fmylearning.sumtotal.host%252Fcore%252FsearchRedirect%253FViewType%253DList%2526SearchText%253Dcrowne%25252520plaza%25252520ignite%2526startRow%253D0%26SearchCallerID%3D2" xr:uid="{06F6FF46-1514-4BD0-8099-5FFE778BA849}"/>
    <hyperlink ref="G63" r:id="rId5" xr:uid="{F3002725-9621-4E68-AAD6-7287BFF3D84B}"/>
    <hyperlink ref="G97" r:id="rId6" display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xr:uid="{3ECB875C-F6E8-48C9-816A-FDA30A5CC45F}"/>
    <hyperlink ref="G61" r:id="rId7" display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xr:uid="{E2CF44A9-17FD-4B35-ACAF-4862F603BAAF}"/>
    <hyperlink ref="G7" r:id="rId8" display="https://mylearning.sumtotal.host/rcore/c/pillarRedirect?isDeepLink=1&amp;relyingParty=LM&amp;url=https%3A%2F%2Fmylearning.sumtotal.host%2Flearning%2Fcore%2Factivitydetails%2FViewActivityDetails%3FUserMode%3D0%26ActivityId%3D10699%26ClassUnderStruct%3DFalse%26CallerUrl%3D%2Flearning%2Flearner%2FHome%2FGoToPortal%3Fkey%3D0%26SearchCallerURL%3Dhttps%253A%252F%252Fmylearning.sumtotal.host%252Fcore%252FsearchRedirect%253FViewType%253DList%2526SearchText%253Dcrowne%25252520plaza%25252520brand%25252520orientation%2526startRow%253D0%26SearchCallerID%3D2" xr:uid="{26B8F97C-F188-49D2-A6FF-326BD65E2B63}"/>
    <hyperlink ref="G8" r:id="rId9" display="https://mylearning.sumtotal.host/rcore/c/pillarRedirect?isDeepLink=1&amp;relyingParty=LM&amp;url=https%3A%2F%2Fmylearning.sumtotal.host%2Flearning%2Fcore%2Factivitydetails%2FViewActivityDetails%3FUserMode%3D0%26ActivityId%3D10769%26ClassUnderStruct%3DFalse%26CallerUrl%3D%2Flearning%2Flearner%2FHome%2FGoToPortal%3Fkey%3D0%26SearchCallerURL%3Dhttps%253A%252F%252Fmylearning.sumtotal.host%252Fcore%252FsearchRedirect%253FViewType%253DList%2526SearchText%253Dcrowne%25252520plaza%25252520dare%25252520to%25252520connect%25252520brand%25252520experience%25252520training_amer%2526startRow%253D0%26SearchCallerID%3D2" xr:uid="{8DE55BA8-4209-4DB6-B15E-474EAA737C36}"/>
    <hyperlink ref="G74" r:id="rId10" display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xr:uid="{21CDB9DB-08B1-4F9F-8F4D-4B104096B0F2}"/>
    <hyperlink ref="G73" r:id="rId11" display="https://mylearning.sumtotal.host/rcore/c/pillarRedirect?isDeepLink=1&amp;relyingParty=LM&amp;url=https%3A%2F%2Fmylearning.sumtotal.host%2Flearning%2Fcore%2Factivitydetails%2FViewActivityDetails%3FUserMode%3D0%26ActivityId%3D6447%26ClassUnderStruct%3DFalse%26CallerUrl%3D%2Flearning%2Flearner%2FHome%2FGoToPortal%3Fkey%3D0%26SearchCallerURL%3Dhttps%253A%252F%252Fmylearning.sumtotal.host%252Fcore%252FsearchRedirect%253FViewType%253DList%2526SearchText%253Dintroduction%25252520to%25252520information%25252520security%2526startRow%253D0%26SearchCallerID%3D2" xr:uid="{114B40CE-DED3-4375-9CB0-FB4512C2098D}"/>
    <hyperlink ref="G44" r:id="rId12" display="https://mylearning.sumtotal.host/Core/pillarRedirect?relyingParty=LM&amp;url=core%2Factivitydetails%2FViewActivityDetails%3FActivityId%3D53229%26UserMode%3D0" xr:uid="{2DB1ACF3-A281-42DB-A955-F6A6D173F356}"/>
    <hyperlink ref="G30" r:id="rId13" display="https://mylearning.sumtotal.host/core/pillarRedirect?relyingParty=LM&amp;url=app%2Fmanagement%2FLMS_ActDetails.aspx%3FActivityId%3D52332%26UserMode%3D1" xr:uid="{3C0E23F6-2F4D-4AD7-A244-5F19B55CA472}"/>
    <hyperlink ref="G29" r:id="rId14" display="https://mylearning.sumtotal.host/core/pillarRedirect?relyingParty=LM&amp;url=app%2Fmanagement%2FLMS_ActDetails.aspx%3FActivityId%3D5294%26UserMode%3D0" xr:uid="{B5766916-80E6-4B05-9992-580D93B901AE}"/>
    <hyperlink ref="G81" r:id="rId15" display="https://mylearning.sumtotal.host/rcore/c/pillarRedirect?isDeepLink=1&amp;relyingParty=LM&amp;url=https%3A%2F%2Fmylearning.sumtotal.host%2Flearning%2Fcore%2Factivitydetails%2FViewActivityDetails%3FUserMode%3D0%26ActivityId%3D6785%26ClassUnderStruct%3DFalse%26CallerUrl%3D%2Flearning%2Flearner%2FHome%2FGoToPortal%3Fkey%3D0%26SearchCallerURL%3Dhttps%253A%252F%252Fmylearning.sumtotal.host%252Fcore%252FsearchRedirect%253FViewType%253DList%2526SearchText%253Dmaintenance%25252520essentials%2526startRow%253D0%26SearchCallerID%3D2" xr:uid="{37A3D86A-5BFC-4695-8E7E-5D0C6E2315F6}"/>
    <hyperlink ref="G15" r:id="rId16" display="https://mylearning.sumtotal.host/rcore/c/pillarRedirect?isDeepLink=1&amp;relyingParty=LM&amp;url=https%3A%2F%2Fmylearning.sumtotal.host%2Flearning%2Fcore%2Factivitydetails%2FViewActivityDetails%3FUserMode%3D0%26ActivityId%3D5284%26ClassUnderStruct%3DFalse%26CallerUrl%3D%2Flearning%2Flearner%2FHome%2FGoToPortal%3Fkey%3D0%26SearchCallerURL%3Dhttps%253A%252F%252Fmylearning.sumtotal.host%252Fcore%252FsearchRedirect%253FViewType%253DList%2526SearchText%253Ddirector%25252520of%25252520sales%25252520orientation%2526startRow%253D0%26SearchCallerID%3D2" xr:uid="{331585AC-8FCB-4100-A57A-F9E002C58616}"/>
    <hyperlink ref="G69" r:id="rId17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3470F2F5-A3F4-47FF-BC5E-3E59AE54605D}"/>
    <hyperlink ref="G17" r:id="rId18" display=" (OBSM 957289)  " xr:uid="{494B1A34-DD9B-4839-9D0C-BC2DB998BD39}"/>
    <hyperlink ref="G23" r:id="rId19" xr:uid="{C805DB29-5599-4E2D-8E33-44DF1A9C2486}"/>
    <hyperlink ref="G96" r:id="rId20" xr:uid="{F88D5530-B53D-4122-94CB-F23A4AF71250}"/>
    <hyperlink ref="G59" r:id="rId21" display="https://mylearning.sumtotal.host/core/pillarRedirect?relyingParty=LM&amp;url=app%2Fmanagement%2FLMS_ActDetails.aspx%3FActivityId%3D240857%26UserMode%3D0" xr:uid="{1C251A07-0A61-4551-8370-333EC277BA50}"/>
    <hyperlink ref="G98" r:id="rId22" xr:uid="{5ADC37DF-5AC8-4699-B5D8-13C4C91413C0}"/>
    <hyperlink ref="G66" r:id="rId23" xr:uid="{89D65E4C-DE2E-4805-B51E-D568601E252C}"/>
    <hyperlink ref="G87" r:id="rId24" xr:uid="{06BFAAAC-419F-4BDE-A6B0-D31191DAE0AA}"/>
    <hyperlink ref="G38:G39" r:id="rId25" display="Link to Fuse" xr:uid="{AB89335B-6786-4F98-9BA9-FDF1EFAD71E8}"/>
    <hyperlink ref="G24" r:id="rId26" xr:uid="{27208D9B-EEEC-4EF4-89F9-9E43797C40F2}"/>
    <hyperlink ref="G36" r:id="rId27" xr:uid="{F2378B1C-92B8-4564-9F20-2186B59432A8}"/>
    <hyperlink ref="G39" r:id="rId28" xr:uid="{59BDC63D-490D-4989-9C89-8111C6CB6AF1}"/>
    <hyperlink ref="G26" r:id="rId29" xr:uid="{FD190E18-403B-49A4-8684-95E85E15354F}"/>
    <hyperlink ref="G25" r:id="rId30" xr:uid="{CFBA4D18-1481-4CBE-A2B9-044818CAF8AC}"/>
    <hyperlink ref="G75" r:id="rId31" xr:uid="{B79D5F63-E3EE-42ED-B9F5-9CE86700C659}"/>
    <hyperlink ref="G82" r:id="rId32" xr:uid="{DE5C0A1C-86AA-4074-8043-3123EC864F48}"/>
    <hyperlink ref="G84" r:id="rId33" xr:uid="{2003B54D-0AD3-4921-93B5-EF5A6813D62F}"/>
    <hyperlink ref="G34" r:id="rId34" xr:uid="{219E6EA9-8A04-46CC-BEBB-C7C523766012}"/>
    <hyperlink ref="G45" r:id="rId35" xr:uid="{424579DA-5718-49E9-BC95-6BD9302467EA}"/>
    <hyperlink ref="G62" r:id="rId36" xr:uid="{785A8574-B553-4A00-A3B1-CDBDDC7FD2B3}"/>
    <hyperlink ref="G4" r:id="rId37" xr:uid="{A90FA1BF-FBA2-499E-9D9C-D3EAA6A438DD}"/>
    <hyperlink ref="G56" r:id="rId38" display="IHG0060624_x0009_" xr:uid="{B8D7315B-4FF1-4F2F-B1D5-07C04EFF2B99}"/>
    <hyperlink ref="G38" r:id="rId39" xr:uid="{19B43BA2-D8EA-49E2-84C0-242E1310B7AA}"/>
    <hyperlink ref="G65" r:id="rId40" xr:uid="{966F8DAB-3881-414B-85C7-200C875FEB88}"/>
    <hyperlink ref="G68" r:id="rId41" xr:uid="{A0C3EB39-B8CB-4E0A-9FFA-5BDAD1720893}"/>
    <hyperlink ref="G88" r:id="rId42" xr:uid="{6DBFF732-C908-4306-8090-F14F003E55EA}"/>
    <hyperlink ref="G89" r:id="rId43" xr:uid="{C6F2DE55-733D-4E14-A2A0-98BEEC5B550D}"/>
    <hyperlink ref="G12" r:id="rId44" xr:uid="{AA995F24-DD8C-40E9-8072-AD467AA0E44F}"/>
    <hyperlink ref="G64" r:id="rId45" xr:uid="{F38ABA6A-B0D2-450C-81E5-26F59ED7B713}"/>
    <hyperlink ref="G11" r:id="rId46" display="https://mylearning.sumtotal.host/rcore/c/pillarRedirect?isDeepLink=1&amp;relyingParty=LM&amp;url=https%3A%2F%2Fmylearning.sumtotal.host%2Flearning%2Fcore%2Factivitydetails%2FViewActivityDetails%3FUserMode%3D0%26ActivityId%3D10768%26ClassUnderStruct%3DFalse%26CallerUrl%3D%2Flearning%2Flearner%2FHome%2FGoToPortal%3Fkey%3D0%26SearchCallerURL%3Dhttps%253A%252F%252Fmylearning.sumtotal.host%252Fcore%252FsearchRedirect%253FViewType%253DList%2526SearchText%253Dcrowne%25252520plaza%25252520power%2526startRow%253D0%26SearchCallerID%3D2" xr:uid="{F18A8930-2C76-4801-8990-4F7D061D17F7}"/>
    <hyperlink ref="G13" r:id="rId47" xr:uid="{CFDD94D8-F148-4332-92AD-216B9434E8E0}"/>
    <hyperlink ref="G31" r:id="rId48" xr:uid="{A437A29D-38FF-499F-B8B1-603C91CDF016}"/>
    <hyperlink ref="G32" r:id="rId49" xr:uid="{ADECFDC0-3B44-4AC4-A7AD-2B618854FCC7}"/>
    <hyperlink ref="G91" r:id="rId50" xr:uid="{C5343AA9-F4A9-4F32-9033-E2715FEB5FCD}"/>
    <hyperlink ref="G95" r:id="rId51" display="https://mylearning.sumtotal.host/rcore/c/pillarRedirect?isDeepLink=1&amp;relyingParty=LM&amp;url=https%3A%2F%2Fmylearning.sumtotal.host%2Flearning%2Fcore%2Factivitydetails%2FViewActivityDetails%3FUserMode%3D0%26ActivityId%3D10712%26ClassUnderStruct%3DFalse%26CallerUrl%3D%2Flearning%2Flearner%2FHome%2FGoToPortal%3Fkey%3D0%26SearchCallerURL%3Dhttps%253A%252F%252Fmylearning.sumtotal.host%252Fcore%252FsearchRedirect%253FViewType%253DList%2526SearchText%253Dthe%25252520express%25252520start%25252520breakfast%25252520bar%25252520experience%25252520-%25252520us%25252520%25252526%25252520canada%2526startRow%253D0%26SearchCallerID%3D2" xr:uid="{DF2DE4C2-F36B-4BA0-840C-D8DF0B5E0649}"/>
    <hyperlink ref="G70" r:id="rId52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D3B71BC6-847F-4D21-AB43-873F8D8B7451}"/>
    <hyperlink ref="G16" r:id="rId53" xr:uid="{B5CBF796-F979-4685-B7F5-872E155E8510}"/>
    <hyperlink ref="G76" r:id="rId54" display=" IHG6112495" xr:uid="{6A5553A0-3D20-4553-AA28-C68BC8ACFA89}"/>
    <hyperlink ref="G40" r:id="rId55" xr:uid="{3FB36317-3193-4961-9A93-D11F141CBB7A}"/>
    <hyperlink ref="G60" r:id="rId56" xr:uid="{0E37F099-86E5-44BA-8D6A-33E4661C1754}"/>
    <hyperlink ref="G46" r:id="rId57" xr:uid="{B432A7D2-6087-46E1-993E-307A8214F23B}"/>
    <hyperlink ref="G79" r:id="rId58" xr:uid="{2D3997C2-EE35-4040-8A0A-75BEB5835BAE}"/>
    <hyperlink ref="G3" r:id="rId59" xr:uid="{2C5600D5-264F-4646-929F-4A49ABD34ADF}"/>
    <hyperlink ref="G52" r:id="rId60" xr:uid="{3344863C-547C-4ECB-9F26-DDA2F590BDF9}"/>
    <hyperlink ref="G51" r:id="rId61" xr:uid="{E1903CBF-872C-4B94-8E07-B856CE399AEA}"/>
    <hyperlink ref="G48" r:id="rId62" xr:uid="{39753274-5BD8-45A9-B38D-D0E6761277FF}"/>
    <hyperlink ref="G50" r:id="rId63" xr:uid="{3D334197-03CF-410B-8405-B3D1B22DF597}"/>
    <hyperlink ref="G49" r:id="rId64" xr:uid="{AC3890B5-29BC-4855-B413-DBCC7308E9C9}"/>
    <hyperlink ref="G35" r:id="rId65" xr:uid="{450319CB-9FA5-4C40-996F-4F0EB6361653}"/>
    <hyperlink ref="G37" r:id="rId66" xr:uid="{C0DCB33B-12F0-4463-BC3E-67E80E0B1763}"/>
    <hyperlink ref="G90" r:id="rId67" xr:uid="{73FDD886-E0CE-4F8B-BCF9-09607CED8E44}"/>
    <hyperlink ref="G53" r:id="rId68" xr:uid="{D6BF13B6-0EF4-482E-BB47-31CD92B2CF44}"/>
    <hyperlink ref="G54" r:id="rId69" xr:uid="{F75FB6C3-EEA7-42F8-A839-D3BBCF321DFA}"/>
    <hyperlink ref="G55" r:id="rId70" xr:uid="{0BDCED3F-81C0-487A-8C9D-C463E47B6474}"/>
    <hyperlink ref="G86" r:id="rId71" xr:uid="{68C545EA-7802-4252-BFAD-46B4EB131A39}"/>
    <hyperlink ref="G2" r:id="rId72" xr:uid="{B1766CEC-6FBB-4A88-B32E-6C4F835D850B}"/>
    <hyperlink ref="G20" r:id="rId73" xr:uid="{1205CF56-F9E4-47FD-AD75-384B890A7CCA}"/>
    <hyperlink ref="G22" r:id="rId74" xr:uid="{CA941953-B6FA-4B40-833C-17256CE80938}"/>
    <hyperlink ref="G21" r:id="rId75" xr:uid="{D784BAC0-B715-4765-AC1A-233EAF7306E7}"/>
    <hyperlink ref="G94" r:id="rId76" display="https://mylearning.sumtotal.host/rcore/c/pillarRedirect?isDeepLink=1&amp;relyingParty=LM&amp;url=https%3A%2F%2Fmylearning.sumtotal.host%2Flearning%2Fcore%2Factivitydetails%2FViewActivityDetails%3FUserMode%3D0%26ActivityId%3D10778%26ClassUnderStruct%3DFalse%26CallerUrl%3D%2Flearning%2Flearner%2FHome%2FGoToPortal%3Fkey%3D0%26SearchCallerURL%3Dhttps%253A%252F%252Fmylearning.sumtotal.host%252Fcore%252FsearchRedirect%253FViewType%253DList%2526SearchText%253Dbrand%25252520orientation%2526startRow%253D0%26SearchCallerID%3D2" xr:uid="{58164D05-D6D1-469F-B930-A71AC0D3FA76}"/>
    <hyperlink ref="G93" r:id="rId77" display="https://mylearning.sumtotal.host/rcore/c/pillarRedirect?isDeepLink=1&amp;relyingParty=LM&amp;url=https%3A%2F%2Fmylearning.sumtotal.host%2Flearning%2Fcore%2Factivitydetails%2FViewActivityDetails%3FUserMode%3D0%26ActivityId%3D10779%26ClassUnderStruct%3DFalse%26CallerUrl%3D%2Flearning%2Flearner%2FHome%2FGoToPortal%3Fkey%3D0%26SearchCallerURL%3Dhttps%253A%252F%252Fmylearning.sumtotal.host%252Fcore%252FsearchRedirect%253FViewType%253DList%2526SearchText%253Dbrand%25252520experience%2526startRow%253D0%26SearchCallerID%3D2" xr:uid="{8462B417-B18D-4F73-9740-5AB044008A6A}"/>
    <hyperlink ref="G19" r:id="rId78" xr:uid="{E0013D0E-3B70-46A7-9E2E-DBBB4A90B659}"/>
    <hyperlink ref="G100" r:id="rId79" display="https://mylearning.sumtotal.host/rcore/c/pillarRedirect?isDeepLink=1&amp;relyingParty=LM&amp;url=https%3A%2F%2Fmylearning.sumtotal.host%2Flearning%2Fcore%2Factivitydetails%2FViewActivityDetails%3FUserMode%3D0%26ActivityId%3D3735%26ClassUnderStruct%3DFalse%26CallerUrl%3D%2Flearning%2Flearner%2FHome%2FGoToPortal%3Fkey%3D0%26SearchCallerURL%3Dhttps%253A%252F%252Fmylearning.sumtotal.host%252Fcore%252FsearchRedirect%253FViewType%253DList%2526SearchText%253Dvoco%25252520orientation%2526startRow%253D0%26SearchCallerID%3D2" xr:uid="{B269C549-D382-4543-9D96-B9A6A3243979}"/>
    <hyperlink ref="G99" r:id="rId80" display="https://mylearning.sumtotal.host/rcore/c/pillarRedirect?isDeepLink=1&amp;relyingParty=LM&amp;url=https%3A%2F%2Fmylearning.sumtotal.host%2Flearning%2Fcore%2Factivitydetails%2FViewActivityDetails%3FUserMode%3D0%26ActivityId%3D6426%26ClassUnderStruct%3DFalse%26CallerUrl%3D%2Flearning%2Flearner%2FHome%2FGoToPortal%3Fkey%3D0%26SearchCallerURL%3Dhttps%253A%252F%252Fmylearning.sumtotal.host%252Fcore%252FsearchRedirect%253FViewType%253DList%2526SearchText%253Dvoco%25252520experience%2526startRow%253D0%26SearchCallerID%3D2" xr:uid="{C94EDF39-1390-412B-944D-F3E23AB67306}"/>
    <hyperlink ref="G43" r:id="rId81" display="https://mylearning.sumtotal.host/rcore/c/pillarRedirect?isDeepLink=1&amp;relyingParty=LM&amp;url=https%3A%2F%2Fmylearning.sumtotal.host%2Flearning%2Fcore%2Factivitydetails%2FViewActivityDetails%3FUserMode%3D0%26ActivityId%3D14835%26ClassUnderStruct%3DFalse%26CallerUrl%3D%2Flearning%2Flearner%2FHome%2FGoToPortal%3Fkey%3D0%26SearchCallerURL%3Dhttps%253A%252F%252Fmylearning.sumtotal.host%252Fcore%252FsearchRedirect%253FViewType%253DList%2526SearchText%253Dhotel%25252520indigo%25252520brand%25252520orientation%2526startRow%253D0%26SearchCallerID%3D2" xr:uid="{D7CC12F5-7FC1-4B33-AD82-7DDF91085ADC}"/>
    <hyperlink ref="G42" r:id="rId82" display="https://mylearning.sumtotal.host/rcore/c/pillarRedirect?isDeepLink=1&amp;relyingParty=LM&amp;url=https%3A%2F%2Fmylearning.sumtotal.host%2Flearning%2Fcore%2Factivitydetails%2FViewActivityDetails%3FUserMode%3D0%26ActivityId%3D14870%26ClassUnderStruct%3DFalse%26CallerUrl%3D%2Flearning%2Flearner%2FHome%2FGoToPortal%3Fkey%3D0%26SearchCallerURL%3Dhttps%253A%252F%252Fmylearning.sumtotal.host%252Fcore%252FsearchRedirect%253FViewType%253DList%2526SearchText%253Dbrand%25252520experience%2526startRow%253D0%26SearchCallerID%3D2" xr:uid="{B4F1E456-52C3-4926-AACE-A02EB802FB57}"/>
    <hyperlink ref="G80" r:id="rId83" xr:uid="{05980858-637A-4EE6-B3D9-3636336C7308}"/>
    <hyperlink ref="G72" r:id="rId84" display="https://mylearning.sumtotal.host/rcore/c/pillarRedirect?isDeepLink=1&amp;relyingParty=LM&amp;url=https%3A%2F%2Fmylearning.sumtotal.host%2Flearning%2Fcore%2Factivitydetails%2FViewActivityDetails%3FUserMode%3D0%26ActivityId%3D10703%26ClassUnderStruct%3DFalse%26CallerUrl%3D%2Flearning%2Flearner%2FHome%2FGoToPortal%3Fkey%3D0%26SearchCallerURL%3Dhttps%253A%252F%252Fmylearning.sumtotal.host%252Fcore%252FsearchRedirect%253FViewType%253DList%2526SearchText%253Dintercontinental%2526startRow%253D0%26SearchCallerID%3D2" xr:uid="{5154C768-0A4E-45F0-B6B3-28E44B261EA9}"/>
    <hyperlink ref="G71" r:id="rId85" xr:uid="{A20DC20C-616E-404A-8450-12D2996931F1}"/>
    <hyperlink ref="G6" r:id="rId86" display="https://mylearning.sumtotal.host/rcore/c/pillarRedirect?isDeepLink=1&amp;relyingParty=LM&amp;url=https%3A%2F%2Fmylearning.sumtotal.host%2Flearning%2Fcore%2Factivitydetails%2FViewActivityDetails%3FUserMode%3D0%26ActivityId%3D10780%26ClassUnderStruct%3DFalse%26CallerUrl%3D%2Flearning%2Flearner%2FHome%2FGoToPortal%3Fkey%3D0%26SearchCallerURL%3Dhttps%253A%252F%252Fmylearning.sumtotal.host%252Fcore%252FsearchRedirect%253FViewType%253DList%2526SearchText%253Dcandlewood%25252520suites%25252520brand%25252520orientation%2526startRow%253D0%26SearchCallerID%3D2" xr:uid="{1B59E29C-D644-43CA-A6A0-A99C231B98CD}"/>
    <hyperlink ref="G5" r:id="rId87" display="https://mylearning.sumtotal.host/rcore/c/pillarRedirect?isDeepLink=1&amp;relyingParty=LM&amp;url=https%3A%2F%2Fmylearning.sumtotal.host%2Flearning%2Fcore%2Factivitydetails%2FViewActivityDetails%3FUserMode%3D0%26ActivityId%3D10781%26ClassUnderStruct%3DFalse%26CallerUrl%3D%2Flearning%2Flearner%2FHome%2FGoToPortal%3Fkey%3D0%26SearchCallerURL%3Dhttps%253A%252F%252Fmylearning.sumtotal.host%252Fcore%252FsearchRedirect%253FViewType%253DList%2526SearchText%253Dcandlewood%25252520suites%25252520brand%25252520experience%25252520training%2526startRow%253D0%26SearchCallerID%3D2" xr:uid="{AA14AB3C-D9C4-4E30-B61A-20C1C107EFB9}"/>
    <hyperlink ref="G41" r:id="rId88" display="Hotel Experience Champion Guide" xr:uid="{1CE78F6C-B087-44DB-A5A6-E82328132C6C}"/>
    <hyperlink ref="G18" r:id="rId89" xr:uid="{03B11215-7FB5-4F4E-91DF-404F23DC040A}"/>
    <hyperlink ref="G83" r:id="rId90" xr:uid="{BE621360-5764-4181-AE0E-8DF96B6E9166}"/>
    <hyperlink ref="G57" r:id="rId91" display="Managed Hotel - Leaders Guide" xr:uid="{D345B72C-11D3-4E38-B1B8-F0CA2CB08851}"/>
    <hyperlink ref="G58" r:id="rId92" xr:uid="{B60113C1-28F6-4A1B-9B22-35BBA33C4C45}"/>
    <hyperlink ref="G27" r:id="rId93" xr:uid="{5A425BFF-5298-4D3D-8318-B0B9E364E21D}"/>
    <hyperlink ref="G28" r:id="rId94" xr:uid="{F996ACA5-E5BC-497D-8265-FFE70EC2DF0E}"/>
    <hyperlink ref="G47" r:id="rId95" display="IHG53503" xr:uid="{0BE28AE5-BA36-4727-974D-CAC7633DCEF7}"/>
    <hyperlink ref="G102" r:id="rId96" xr:uid="{3A41CB17-FD59-4C6D-83F9-36FA9CE9CD5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0FB5998A19E144988DF3734FEC42B1" ma:contentTypeVersion="21" ma:contentTypeDescription="Create a new document." ma:contentTypeScope="" ma:versionID="562a5cbe4cb460822474b48c31612d9c">
  <xsd:schema xmlns:xsd="http://www.w3.org/2001/XMLSchema" xmlns:xs="http://www.w3.org/2001/XMLSchema" xmlns:p="http://schemas.microsoft.com/office/2006/metadata/properties" xmlns:ns2="f377571e-348a-4a41-ae4f-751633edf0ab" xmlns:ns3="cf702266-44d4-4d24-8729-674f03bf7617" targetNamespace="http://schemas.microsoft.com/office/2006/metadata/properties" ma:root="true" ma:fieldsID="97cbd17d2f9e6c19c683fd7395dba0f5" ns2:_="" ns3:_="">
    <xsd:import namespace="f377571e-348a-4a41-ae4f-751633edf0ab"/>
    <xsd:import namespace="cf702266-44d4-4d24-8729-674f03bf76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bc78fdecb2e240aba855f30e889c002b" minOccurs="0"/>
                <xsd:element ref="ns3:TaxCatchAll" minOccurs="0"/>
                <xsd:element ref="ns2:Tags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7571e-348a-4a41-ae4f-751633edf0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bc78fdecb2e240aba855f30e889c002b" ma:index="22" nillable="true" ma:taxonomy="true" ma:internalName="bc78fdecb2e240aba855f30e889c002b" ma:taxonomyFieldName="Content_x0020_Type" ma:displayName="Content Type" ma:default="" ma:fieldId="{bc78fdec-b2e2-40ab-a855-f30e889c002b}" ma:sspId="2ca3f799-1a95-413a-9635-5642501b3711" ma:termSetId="1a43a39d-bd2c-4242-b9b7-9617bc556f38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gs" ma:index="24" nillable="true" ma:displayName="Tags" ma:internalName="Tags">
      <xsd:simpleType>
        <xsd:restriction base="dms:Note">
          <xsd:maxLength value="255"/>
        </xsd:restriction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2ca3f799-1a95-413a-9635-5642501b37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702266-44d4-4d24-8729-674f03bf76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4aa5d48-c120-4482-b5a8-dfe0b6d98e3e}" ma:internalName="TaxCatchAll" ma:showField="CatchAllData" ma:web="cf702266-44d4-4d24-8729-674f03bf76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77571e-348a-4a41-ae4f-751633edf0ab">
      <Terms xmlns="http://schemas.microsoft.com/office/infopath/2007/PartnerControls"/>
    </lcf76f155ced4ddcb4097134ff3c332f>
    <TaxCatchAll xmlns="cf702266-44d4-4d24-8729-674f03bf7617" xsi:nil="true"/>
    <bc78fdecb2e240aba855f30e889c002b xmlns="f377571e-348a-4a41-ae4f-751633edf0ab">
      <Terms xmlns="http://schemas.microsoft.com/office/infopath/2007/PartnerControls"/>
    </bc78fdecb2e240aba855f30e889c002b>
    <Tags xmlns="f377571e-348a-4a41-ae4f-751633edf0ab" xsi:nil="true"/>
  </documentManagement>
</p:properties>
</file>

<file path=customXml/itemProps1.xml><?xml version="1.0" encoding="utf-8"?>
<ds:datastoreItem xmlns:ds="http://schemas.openxmlformats.org/officeDocument/2006/customXml" ds:itemID="{16B6BCD3-D220-4C8B-9EB7-3E5F63691B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77571e-348a-4a41-ae4f-751633edf0ab"/>
    <ds:schemaRef ds:uri="cf702266-44d4-4d24-8729-674f03bf76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8BF95B-0471-4977-A6A9-72DE2F56C2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E0E9E6-5202-42EC-BFE2-E3F3A40A1AC5}">
  <ds:schemaRefs>
    <ds:schemaRef ds:uri="http://purl.org/dc/dcmitype/"/>
    <ds:schemaRef ds:uri="http://purl.org/dc/elements/1.1/"/>
    <ds:schemaRef ds:uri="http://schemas.microsoft.com/office/infopath/2007/PartnerControls"/>
    <ds:schemaRef ds:uri="cf702266-44d4-4d24-8729-674f03bf7617"/>
    <ds:schemaRef ds:uri="http://schemas.openxmlformats.org/package/2006/metadata/core-properties"/>
    <ds:schemaRef ds:uri="http://schemas.microsoft.com/office/2006/documentManagement/types"/>
    <ds:schemaRef ds:uri="f377571e-348a-4a41-ae4f-751633edf0ab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Colour Guide</vt:lpstr>
      <vt:lpstr>Garner</vt:lpstr>
      <vt:lpstr>Holiday Inn Express</vt:lpstr>
      <vt:lpstr>Holiday Inn</vt:lpstr>
      <vt:lpstr>Staybridge Suites</vt:lpstr>
      <vt:lpstr>voco</vt:lpstr>
      <vt:lpstr>Crowne Plaza</vt:lpstr>
      <vt:lpstr>Hotel Indigo</vt:lpstr>
      <vt:lpstr>Vignette Collection</vt:lpstr>
      <vt:lpstr>InterContinental </vt:lpstr>
      <vt:lpstr>Regent</vt:lpstr>
      <vt:lpstr>Kimpton</vt:lpstr>
      <vt:lpstr>Candlewood Suites</vt:lpstr>
      <vt:lpstr>IHG Unbranded</vt:lpstr>
      <vt:lpstr>Lookups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Cuff, Jacqui (IHG)</dc:creator>
  <cp:keywords/>
  <dc:description/>
  <cp:lastModifiedBy>Beam, Christopher</cp:lastModifiedBy>
  <cp:revision/>
  <dcterms:created xsi:type="dcterms:W3CDTF">2023-10-30T18:21:11Z</dcterms:created>
  <dcterms:modified xsi:type="dcterms:W3CDTF">2024-09-30T16:41:35Z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0x010100EC0FB5998A19E144988DF3734FEC42B1</vt:lpwstr>
  </property>
  <property fmtid="{D5CDD505-2E9C-101B-9397-08002B2CF9AE}" pid="3" name="MediaServiceImageTags">
    <vt:lpwstr/>
  </property>
  <property fmtid="{D5CDD505-2E9C-101B-9397-08002B2CF9AE}" pid="4" name="Content Type">
    <vt:lpwstr/>
  </property>
</Properties>
</file>